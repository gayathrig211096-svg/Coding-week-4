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7C39C3C-AB4C-4960-8D87-9133F9690980}" xr6:coauthVersionLast="47" xr6:coauthVersionMax="47" xr10:uidLastSave="{00000000-0000-0000-0000-000000000000}"/>
  <bookViews>
    <workbookView xWindow="-120" yWindow="-120" windowWidth="20730" windowHeight="11040" activeTab="1" xr2:uid="{BC76FDFA-39A0-4D5D-A19F-3C4E1542FF17}"/>
  </bookViews>
  <sheets>
    <sheet name=" Pivot 2" sheetId="9" r:id="rId1"/>
    <sheet name="Pivot table" sheetId="5" r:id="rId2"/>
    <sheet name="Dashboard" sheetId="4" r:id="rId3"/>
    <sheet name="Table2" sheetId="2" r:id="rId4"/>
    <sheet name="Table3" sheetId="3" r:id="rId5"/>
    <sheet name="Table1" sheetId="1" r:id="rId6"/>
  </sheets>
  <definedNames>
    <definedName name="_xlcn.WorksheetConnection_Table2A1I68" hidden="1">Table2!$A$1:$I$68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able2!$A$1:$I$6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 a="1"/>
  <c r="Q2" i="2" s="1"/>
  <c r="M2" i="2" a="1"/>
  <c r="M2" i="2" s="1"/>
  <c r="D2" i="3" a="1"/>
  <c r="D2" i="3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9" i="2"/>
  <c r="G20" i="2"/>
  <c r="G22" i="2"/>
  <c r="G23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2" i="2"/>
  <c r="F51" i="2"/>
  <c r="F49" i="2"/>
  <c r="G49" i="2" s="1"/>
  <c r="F24" i="2"/>
  <c r="G24" i="2" s="1"/>
  <c r="F21" i="2"/>
  <c r="G21" i="2" s="1"/>
  <c r="F20" i="2"/>
  <c r="F18" i="2"/>
  <c r="G18" i="2" s="1"/>
  <c r="F17" i="2"/>
  <c r="G17" i="2" s="1"/>
  <c r="D2" i="1" a="1"/>
  <c r="D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4E93E9-441E-4D17-8827-EBA19784EBC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CB928ED-FAC5-40F5-A7B1-647B290EDE3D}" name="WorksheetConnection_Table2!$A$1:$I$68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able2A1I68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<sst xmlns="http://schemas.openxmlformats.org/spreadsheetml/2006/main" count="1078" uniqueCount="187">
  <si>
    <t>Product ID</t>
  </si>
  <si>
    <t>Product Name</t>
  </si>
  <si>
    <t>Category</t>
  </si>
  <si>
    <t>Mob Price</t>
  </si>
  <si>
    <t>SM-B315EZDDINS</t>
  </si>
  <si>
    <t>SM-B315EZWDINS</t>
  </si>
  <si>
    <t>SM-B313EZADINS</t>
  </si>
  <si>
    <t>SM-B313EZDDINS</t>
  </si>
  <si>
    <t>GT-E1215ZWAINS</t>
  </si>
  <si>
    <t>SM-B313EZKDINS</t>
  </si>
  <si>
    <t>SM-E225FLBHINS</t>
  </si>
  <si>
    <t>SM-M325FLBCINS</t>
  </si>
  <si>
    <t>SM-M325FZKCINS</t>
  </si>
  <si>
    <t>SM-M326BZBIINS</t>
  </si>
  <si>
    <t>SM-M526BLBHINU</t>
  </si>
  <si>
    <t>SM-A032FCKDINS</t>
  </si>
  <si>
    <t>SM-A035FZK5INS</t>
  </si>
  <si>
    <t>SM-A035FZK6INS</t>
  </si>
  <si>
    <t>SM-A035FZR6INS</t>
  </si>
  <si>
    <t>SM-A135FLBGINS</t>
  </si>
  <si>
    <t>SM-A135FZKGINS</t>
  </si>
  <si>
    <t>SM-A135FZOGINS</t>
  </si>
  <si>
    <t>SM-A135FLBHINS</t>
  </si>
  <si>
    <t>SM-A135FZKHINS</t>
  </si>
  <si>
    <t>SM-A135FLBJINS</t>
  </si>
  <si>
    <t>SM-A135FZKJINS</t>
  </si>
  <si>
    <t>SM-A235FLBHINS</t>
  </si>
  <si>
    <t>SM-A235FZKHINS</t>
  </si>
  <si>
    <t>SM-A235FZOHINS</t>
  </si>
  <si>
    <t>SM-A235FLBTINS</t>
  </si>
  <si>
    <t>SM-A226BLG6INS</t>
  </si>
  <si>
    <t>SM-A226BZA6INS</t>
  </si>
  <si>
    <t>SM-A226BZAJINS</t>
  </si>
  <si>
    <t>SM-A325FZBHINS</t>
  </si>
  <si>
    <t>SM-A325FZKHINS</t>
  </si>
  <si>
    <t>SM-A325FZBIINS</t>
  </si>
  <si>
    <t>SM-A336ELBPINS</t>
  </si>
  <si>
    <t>SM-A336ELBRINS</t>
  </si>
  <si>
    <t>SM-A528BLVCINS</t>
  </si>
  <si>
    <t>SM-A528BLGOINS</t>
  </si>
  <si>
    <t>SM-A528BLVOINS</t>
  </si>
  <si>
    <t>SM-A536EZODINS</t>
  </si>
  <si>
    <t>SM-G781BZBGINS</t>
  </si>
  <si>
    <t>SM-G781BZGGINS</t>
  </si>
  <si>
    <t>SM-G990ELVIINU</t>
  </si>
  <si>
    <t>SM-G990EZAIINU</t>
  </si>
  <si>
    <t>SM-G991BZADINU</t>
  </si>
  <si>
    <t>SM-S901EIDDINU</t>
  </si>
  <si>
    <t>SM-S901EZKGINU</t>
  </si>
  <si>
    <t>SM-S901EZWGINU</t>
  </si>
  <si>
    <t>SM-S908EZGGINU</t>
  </si>
  <si>
    <t>SM-S908EDRGINU</t>
  </si>
  <si>
    <t>SM-S908EZKGINU</t>
  </si>
  <si>
    <t>SM-S908EZWGINU</t>
  </si>
  <si>
    <t>SM-S908EDRHINU</t>
  </si>
  <si>
    <t>SM-F926BZGDINU</t>
  </si>
  <si>
    <t>SM-F926BZSDINU</t>
  </si>
  <si>
    <t>SM-T225NZAAINS</t>
  </si>
  <si>
    <t>SM-P613NZIAINU</t>
  </si>
  <si>
    <t>SM-X706BIDAINU</t>
  </si>
  <si>
    <t>SM-X706BZAAINU</t>
  </si>
  <si>
    <t>SM-X806BIDAINU</t>
  </si>
  <si>
    <t>SM-X806BZSAINU</t>
  </si>
  <si>
    <t>SM-R860NZDAINU</t>
  </si>
  <si>
    <t>SM-R860NZKAINU</t>
  </si>
  <si>
    <t>SM-R860NZSAINU</t>
  </si>
  <si>
    <t>SM-R865FZKAINU</t>
  </si>
  <si>
    <t>SM-R865FZSAINU</t>
  </si>
  <si>
    <t>SM-R875FZSAINU</t>
  </si>
  <si>
    <t>SM-R890NZSAINU</t>
  </si>
  <si>
    <t>SM-R895FZSAINU</t>
  </si>
  <si>
    <t>Order ID</t>
  </si>
  <si>
    <t>Order Name</t>
  </si>
  <si>
    <t>Sales Amount</t>
  </si>
  <si>
    <t>quantity</t>
  </si>
  <si>
    <t>Region ID</t>
  </si>
  <si>
    <t>Region Name</t>
  </si>
  <si>
    <t>S1</t>
  </si>
  <si>
    <t>S2</t>
  </si>
  <si>
    <t>S3</t>
  </si>
  <si>
    <t>S4</t>
  </si>
  <si>
    <t>S1S</t>
  </si>
  <si>
    <t>S1N</t>
  </si>
  <si>
    <t>Kerala</t>
  </si>
  <si>
    <t>Tamilnadu</t>
  </si>
  <si>
    <t>Karnataka</t>
  </si>
  <si>
    <t>Hyderabad</t>
  </si>
  <si>
    <t>Kerala south</t>
  </si>
  <si>
    <t>kerala North</t>
  </si>
  <si>
    <t>Metro SM-B313E Gray</t>
  </si>
  <si>
    <t>Metro SM-B313E Gold</t>
  </si>
  <si>
    <t xml:space="preserve"> Piton B315E Gold </t>
  </si>
  <si>
    <t>Piton B315E White</t>
  </si>
  <si>
    <t>Eider E1215 White</t>
  </si>
  <si>
    <t>SM-B313E,BLACK</t>
  </si>
  <si>
    <t>Galaxy F22 E225FH 6/128GB Light Blue</t>
  </si>
  <si>
    <t>Galaxy M32 M325FC 6/128GB Light Blue</t>
  </si>
  <si>
    <t>Galaxy M32 M325FC 6/12GB Black</t>
  </si>
  <si>
    <t>Galaxy M32 5G 6/128GB Blue</t>
  </si>
  <si>
    <t>Galaxy M52 5G (6/128) Light Blue</t>
  </si>
  <si>
    <t>Galaxy A03 Core 2/32GB Black</t>
  </si>
  <si>
    <t>Galaxy A03 4/64GB Black</t>
  </si>
  <si>
    <t>Galaxy A03 3/32GB Black</t>
  </si>
  <si>
    <t>Galaxy A03 3/32GB Red</t>
  </si>
  <si>
    <t>Galaxy A13 4/64GB A135FG Light Blue</t>
  </si>
  <si>
    <t>Galaxy A13 4/64GB A135FG Black</t>
  </si>
  <si>
    <t>Galaxy A13 4/64GB A135FG Orange</t>
  </si>
  <si>
    <t>Galaxy A13 4/128GB A135FH Light Blue</t>
  </si>
  <si>
    <t>Galaxy A13 4/128GB A135FH Black</t>
  </si>
  <si>
    <t>Galaxy A13 6/128GB A135FJ Light Blue</t>
  </si>
  <si>
    <t>Galaxy A13 6/128GB A135FJ Black</t>
  </si>
  <si>
    <t>Galaxy A23 A235FH 6/128GB Light BLue</t>
  </si>
  <si>
    <t>Galaxy A23 A235FH 6/128GB Black</t>
  </si>
  <si>
    <t>Galaxy A23 A235FH 6/128GB Orange</t>
  </si>
  <si>
    <t>Galaxy A23 A235FT 8/128GB Blue</t>
  </si>
  <si>
    <t>Galaxy A22 A226BJ 5G (8/128GB) Light Green</t>
  </si>
  <si>
    <t>Galaxy A22 A226BJ 5G (8/128GB) Gray</t>
  </si>
  <si>
    <t>Galaxy A22 A226BJ 5G (8/128GB) Grey</t>
  </si>
  <si>
    <t>Galaxy A32 - 6GB/128GB Blue</t>
  </si>
  <si>
    <t>Galaxy A32 - 6GB/128GB Black</t>
  </si>
  <si>
    <t>Galaxy A32 8/128GB Blue</t>
  </si>
  <si>
    <t>Galaxy A33 5G 6/128GB Light Blue</t>
  </si>
  <si>
    <t>Galaxy A33 5G 8/128GB Light Blue</t>
  </si>
  <si>
    <t>Galaxy A52S 5G 6/128GB</t>
  </si>
  <si>
    <t>Galaxy A52S 5G 8/128GB Light</t>
  </si>
  <si>
    <t>Galaxy A52S 5G 8/128GB Light Violet</t>
  </si>
  <si>
    <t>Galaxy A53 5G 6/128GB A536ED Orange</t>
  </si>
  <si>
    <t>Galaxy S20FE 5G 8/128 G781BG Cloud Navy</t>
  </si>
  <si>
    <t>Galaxy S20FE 5G 8/128 G781BG Cloud Mint</t>
  </si>
  <si>
    <t>Galaxy S21FE 5G 8/128GB G990EI Light Violet</t>
  </si>
  <si>
    <t>Galaxy S21FE 5G 8/128GB G990EI Gray</t>
  </si>
  <si>
    <t>Galaxy S21 (128GB) G991BD Phantom Gray</t>
  </si>
  <si>
    <t>Galaxy S22 8/128GB S901ED Pink</t>
  </si>
  <si>
    <t>Galaxy S22 8/256GB S901EG Phantom Black</t>
  </si>
  <si>
    <t>Galaxy S22 8/256GB S901EG White</t>
  </si>
  <si>
    <t>Galaxy S22 Ultra 12/256GB S908EG</t>
  </si>
  <si>
    <t>Galaxy S22 Ultra 12/256GB S908EG Burgundy Red</t>
  </si>
  <si>
    <t>Galaxy S22 Ultra 12/256GB S908EG Black</t>
  </si>
  <si>
    <t>Galaxy S22 Ultra 12/256GB S908EG White</t>
  </si>
  <si>
    <t>Galaxy S22 Ultra 12/512GB S908EH Dark Red</t>
  </si>
  <si>
    <t>Z Fold3 (256GB) F926BD Bronze</t>
  </si>
  <si>
    <t>Z Fold3 (256GB) F926BD Silver</t>
  </si>
  <si>
    <t>Lite LTE (32GB) Gray</t>
  </si>
  <si>
    <t>P613 Tab S6 Lite WIFI Pink</t>
  </si>
  <si>
    <t>BA Tab S8 LTE 8/128GB Pink Gold</t>
  </si>
  <si>
    <t>BA Tab S8 LTE 8/128GB Gray</t>
  </si>
  <si>
    <t>BA Tab S8 Plus LTE 8/128GB Pink Gold</t>
  </si>
  <si>
    <t>BA Tab S8 Plus LTE 8/128GB Silver</t>
  </si>
  <si>
    <t>R860 Gold</t>
  </si>
  <si>
    <t>R860 Black</t>
  </si>
  <si>
    <t>R860 Silver</t>
  </si>
  <si>
    <t>R865 Black</t>
  </si>
  <si>
    <t>R865 Silver</t>
  </si>
  <si>
    <t>R875 Silver</t>
  </si>
  <si>
    <t>BT 46mm R890 Silver</t>
  </si>
  <si>
    <t>LTE 46mm R895 Silver</t>
  </si>
  <si>
    <t>Date</t>
  </si>
  <si>
    <t>Weekday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</si>
  <si>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</si>
  <si>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</si>
  <si>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</si>
  <si>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</si>
  <si>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</si>
  <si>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</si>
  <si>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</si>
  <si>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</si>
  <si>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</si>
  <si>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</si>
  <si>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</si>
  <si>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</si>
  <si>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</si>
  <si>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</si>
  <si>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 Amount</t>
  </si>
  <si>
    <t>Weekday Sales</t>
  </si>
  <si>
    <t>Monthly sales</t>
  </si>
  <si>
    <t>Monthly Sales Trend and Weekday Wise Performance</t>
  </si>
  <si>
    <t xml:space="preserve"> Piton B315E Gold</t>
  </si>
  <si>
    <t>Midrange</t>
  </si>
  <si>
    <t>Premium</t>
  </si>
  <si>
    <t>Column Labels</t>
  </si>
  <si>
    <t>Top 5 Product by sales</t>
  </si>
  <si>
    <t>Category segment region wise sales</t>
  </si>
  <si>
    <t>1,Use date &amp; time functions to derive meaningful time-based insights-Use weekday() function</t>
  </si>
  <si>
    <t>2,Connect multiple tables using lookup/reference functions or Pivot Table relationships-Pivot table Relationships</t>
  </si>
  <si>
    <t>3,Build Pivot Tables and Pivot Charts for analysis and visualization-Used all these tools</t>
  </si>
  <si>
    <t>4,Create a dynamic, interactive dashboard using slicers and filters-Filters used</t>
  </si>
  <si>
    <t>5,Leverage Excel AI features (Quick Analysis / AI analyst) to generate insights efficiently-Not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</si>
</sst>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rgb="FF7030A0"/>
      <name val="Calibri"/>
    </font>
    <font>
      <sz val="11"/>
      <color rgb="FF7030A0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BFBFBF"/>
        <bgColor rgb="FFBFBFB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2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2" fontId="6" fillId="0" borderId="1" xfId="0" applyNumberFormat="1" applyFont="1" applyBorder="1" applyAlignment="1">
      <alignment horizontal="center"/>
    </xf>
    <xf numFmtId="0" fontId="7" fillId="0" borderId="1" xfId="0" applyFont="1" applyBorder="1"/>
    <xf numFmtId="2" fontId="8" fillId="0" borderId="1" xfId="0" applyNumberFormat="1" applyFont="1" applyBorder="1" applyAlignment="1">
      <alignment horizontal="center"/>
    </xf>
    <xf numFmtId="0" fontId="3" fillId="3" borderId="1" xfId="0" applyFont="1" applyFill="1" applyBorder="1"/>
    <xf numFmtId="2" fontId="4" fillId="3" borderId="1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/>
    <xf numFmtId="0" fontId="5" fillId="0" borderId="3" xfId="0" applyFont="1" applyBorder="1"/>
    <xf numFmtId="0" fontId="7" fillId="0" borderId="3" xfId="0" applyFont="1" applyBorder="1"/>
    <xf numFmtId="0" fontId="3" fillId="3" borderId="3" xfId="0" applyFont="1" applyFill="1" applyBorder="1"/>
    <xf numFmtId="0" fontId="0" fillId="0" borderId="2" xfId="0" applyBorder="1"/>
    <xf numFmtId="0" fontId="1" fillId="4" borderId="2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10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14" fontId="0" fillId="0" borderId="2" xfId="0" applyNumberFormat="1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5" borderId="0" xfId="0" applyFill="1"/>
    <xf numFmtId="0" fontId="3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2" fontId="4" fillId="3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5" borderId="0" xfId="0" applyFill="1" applyAlignment="1">
      <alignment vertical="top"/>
    </xf>
    <xf numFmtId="0" fontId="13" fillId="5" borderId="0" xfId="0" applyFont="1" applyFill="1" applyAlignment="1">
      <alignment horizontal="left" vertical="top"/>
    </xf>
    <xf numFmtId="0" fontId="1" fillId="0" borderId="0" xfId="0" applyFont="1" applyAlignment="1">
      <alignment horizontal="center"/>
    </xf>
    <xf numFmtId="0" fontId="13" fillId="5" borderId="0" xfId="0" applyFont="1" applyFill="1" applyAlignment="1">
      <alignment horizontal="left" vertical="top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/>
    </xf>
  </cellXfs>
  <cellStyles count="2">
    <cellStyle name="Normal" xfId="0" builtinId="0"/>
    <cellStyle name="Normal 2" xfId="1" xr:uid="{7D8CD770-8AC5-4B41-AA7A-345954CA370B}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[Coding data.xlsx] Pivot 2!PivotTable11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Pivot 2'!$B$3:$B$4</c:f>
              <c:strCache>
                <c:ptCount val="1"/>
                <c:pt idx="0">
                  <c:v>Midrange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 Pivot 2'!$A$5:$A$11</c:f>
              <c:strCache>
                <c:ptCount val="6"/>
                <c:pt idx="0">
                  <c:v>Hyderabad</c:v>
                </c:pt>
                <c:pt idx="1">
                  <c:v>Karnataka</c:v>
                </c:pt>
                <c:pt idx="2">
                  <c:v>Kerala</c:v>
                </c:pt>
                <c:pt idx="3">
                  <c:v>kerala North</c:v>
                </c:pt>
                <c:pt idx="4">
                  <c:v>Kerala south</c:v>
                </c:pt>
                <c:pt idx="5">
                  <c:v>Tamilnadu</c:v>
                </c:pt>
              </c:strCache>
            </c:strRef>
          </c:cat>
          <c:val>
            <c:numRef>
              <c:f>' Pivot 2'!$B$5:$B$11</c:f>
              <c:numCache>
                <c:formatCode>0</c:formatCode>
                <c:ptCount val="6"/>
                <c:pt idx="0">
                  <c:v>284412.28479999996</c:v>
                </c:pt>
                <c:pt idx="1">
                  <c:v>573457.85140000004</c:v>
                </c:pt>
                <c:pt idx="2">
                  <c:v>81972.806400000001</c:v>
                </c:pt>
                <c:pt idx="3">
                  <c:v>3028034.9811999998</c:v>
                </c:pt>
                <c:pt idx="4">
                  <c:v>49903.143999999993</c:v>
                </c:pt>
                <c:pt idx="5">
                  <c:v>2175086.2828000002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4-4D77-A3E5-22D331E38CB1}"/>
            </c:ext>
          </c:extLst>
        </c:ser>
        <c:ser>
          <c:idx val="1"/>
          <c:order val="1"/>
          <c:tx>
            <c:strRef>
              <c:f>' Pivot 2'!$C$3:$C$4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 Pivot 2'!$A$5:$A$11</c:f>
              <c:strCache>
                <c:ptCount val="6"/>
                <c:pt idx="0">
                  <c:v>Hyderabad</c:v>
                </c:pt>
                <c:pt idx="1">
                  <c:v>Karnataka</c:v>
                </c:pt>
                <c:pt idx="2">
                  <c:v>Kerala</c:v>
                </c:pt>
                <c:pt idx="3">
                  <c:v>kerala North</c:v>
                </c:pt>
                <c:pt idx="4">
                  <c:v>Kerala south</c:v>
                </c:pt>
                <c:pt idx="5">
                  <c:v>Tamilnadu</c:v>
                </c:pt>
              </c:strCache>
            </c:strRef>
          </c:cat>
          <c:val>
            <c:numRef>
              <c:f>' Pivot 2'!$C$5:$C$11</c:f>
              <c:numCache>
                <c:formatCode>0</c:formatCode>
                <c:ptCount val="6"/>
                <c:pt idx="0">
                  <c:v>42411494.3684</c:v>
                </c:pt>
                <c:pt idx="1">
                  <c:v>30542016.699999999</c:v>
                </c:pt>
                <c:pt idx="2">
                  <c:v>21618365.395199995</c:v>
                </c:pt>
                <c:pt idx="3">
                  <c:v>18906260.121199995</c:v>
                </c:pt>
                <c:pt idx="4">
                  <c:v>35917339.411400005</c:v>
                </c:pt>
                <c:pt idx="5">
                  <c:v>21734503.744599998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4-4D77-A3E5-22D331E38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01961632"/>
        <c:axId val="901967040"/>
        <c:axId val="0"/>
      </c:bar3DChart>
      <c:catAx>
        <c:axId val="90196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67040"/>
        <c:crosses val="autoZero"/>
        <c:auto val="1"/>
        <c:lblAlgn val="ctr"/>
        <c:lblOffset val="100"/>
        <c:noMultiLvlLbl val="0"/>
      </c:catAx>
      <c:valAx>
        <c:axId val="9019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6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[Coding data.xlsx]Pivot table!PivotTable1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table'!$B$4:$B$16</c:f>
              <c:numCache>
                <c:formatCode>General</c:formatCode>
                <c:ptCount val="12"/>
                <c:pt idx="0">
                  <c:v>13531885.610600002</c:v>
                </c:pt>
                <c:pt idx="1">
                  <c:v>11148573.554199997</c:v>
                </c:pt>
                <c:pt idx="2">
                  <c:v>6073397.459999999</c:v>
                </c:pt>
                <c:pt idx="3">
                  <c:v>8145156.1342000002</c:v>
                </c:pt>
                <c:pt idx="4">
                  <c:v>19164105.437600002</c:v>
                </c:pt>
                <c:pt idx="5">
                  <c:v>6566738.6096000001</c:v>
                </c:pt>
                <c:pt idx="6">
                  <c:v>37204892.883200005</c:v>
                </c:pt>
                <c:pt idx="7">
                  <c:v>5206620.7428000001</c:v>
                </c:pt>
                <c:pt idx="8">
                  <c:v>19921023.411399998</c:v>
                </c:pt>
                <c:pt idx="9">
                  <c:v>15363486.271599999</c:v>
                </c:pt>
                <c:pt idx="10">
                  <c:v>11629509.788599998</c:v>
                </c:pt>
                <c:pt idx="11">
                  <c:v>23367457.187599998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1-4EC0-87AB-323DD8288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878528"/>
        <c:axId val="527623744"/>
      </c:lineChart>
      <c:catAx>
        <c:axId val="7718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23744"/>
        <c:crosses val="autoZero"/>
        <c:auto val="1"/>
        <c:lblAlgn val="ctr"/>
        <c:lblOffset val="100"/>
        <c:noMultiLvlLbl val="0"/>
      </c:catAx>
      <c:valAx>
        <c:axId val="52762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87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[Coding data.xlsx]Pivot table!PivotTable2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58092738407699"/>
          <c:y val="0.24939596092155147"/>
          <c:w val="0.67125196850393698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table'!$A$23:$A$30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'Pivot table'!$B$23:$B$30</c:f>
              <c:numCache>
                <c:formatCode>General</c:formatCode>
                <c:ptCount val="7"/>
                <c:pt idx="0">
                  <c:v>9892288.9732000008</c:v>
                </c:pt>
                <c:pt idx="1">
                  <c:v>52719883.850599989</c:v>
                </c:pt>
                <c:pt idx="2">
                  <c:v>14898724.344399998</c:v>
                </c:pt>
                <c:pt idx="3">
                  <c:v>32118229.2766</c:v>
                </c:pt>
                <c:pt idx="4">
                  <c:v>28049902.814400002</c:v>
                </c:pt>
                <c:pt idx="5">
                  <c:v>17676282.047199998</c:v>
                </c:pt>
                <c:pt idx="6">
                  <c:v>21967535.785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E-4ABD-9188-37BB4C540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972032"/>
        <c:axId val="901962464"/>
      </c:lineChart>
      <c:catAx>
        <c:axId val="90197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62464"/>
        <c:crosses val="autoZero"/>
        <c:auto val="1"/>
        <c:lblAlgn val="ctr"/>
        <c:lblOffset val="100"/>
        <c:noMultiLvlLbl val="0"/>
      </c:catAx>
      <c:valAx>
        <c:axId val="9019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7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[Coding data.xlsx]Pivot table!PivotTable7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table'!$A$42:$A$109</c:f>
              <c:strCache>
                <c:ptCount val="67"/>
                <c:pt idx="0">
                  <c:v>Galaxy A13 4/64GB A135FG Light Blue</c:v>
                </c:pt>
                <c:pt idx="1">
                  <c:v>Galaxy A13 4/64GB A135FG Black</c:v>
                </c:pt>
                <c:pt idx="2">
                  <c:v>Galaxy S22 Ultra 12/256GB S908EG Burgundy Red</c:v>
                </c:pt>
                <c:pt idx="3">
                  <c:v>Galaxy S20FE 5G 8/128 G781BG Cloud Mint</c:v>
                </c:pt>
                <c:pt idx="4">
                  <c:v>Galaxy A13 4/128GB A135FH Light Blue</c:v>
                </c:pt>
                <c:pt idx="5">
                  <c:v>Galaxy A22 A226BJ 5G (8/128GB) Light Green</c:v>
                </c:pt>
                <c:pt idx="6">
                  <c:v>Galaxy A52S 5G 6/128GB</c:v>
                </c:pt>
                <c:pt idx="7">
                  <c:v>Galaxy A13 4/64GB A135FG Orange</c:v>
                </c:pt>
                <c:pt idx="8">
                  <c:v>Galaxy S20FE 5G 8/128 G781BG Cloud Navy</c:v>
                </c:pt>
                <c:pt idx="9">
                  <c:v>Galaxy A52S 5G 8/128GB Light</c:v>
                </c:pt>
                <c:pt idx="10">
                  <c:v>Galaxy A23 A235FH 6/128GB Light BLue</c:v>
                </c:pt>
                <c:pt idx="11">
                  <c:v>Galaxy A03 4/64GB Black</c:v>
                </c:pt>
                <c:pt idx="12">
                  <c:v>Galaxy A13 4/128GB A135FH Black</c:v>
                </c:pt>
                <c:pt idx="13">
                  <c:v>Galaxy S22 Ultra 12/256GB S908EG Black</c:v>
                </c:pt>
                <c:pt idx="14">
                  <c:v>Galaxy M32 5G 6/128GB Blue</c:v>
                </c:pt>
                <c:pt idx="15">
                  <c:v>Galaxy A22 A226BJ 5G (8/128GB) Gray</c:v>
                </c:pt>
                <c:pt idx="16">
                  <c:v>Galaxy A03 Core 2/32GB Black</c:v>
                </c:pt>
                <c:pt idx="17">
                  <c:v>Galaxy A23 A235FH 6/128GB Orange</c:v>
                </c:pt>
                <c:pt idx="18">
                  <c:v>Galaxy A22 A226BJ 5G (8/128GB) Grey</c:v>
                </c:pt>
                <c:pt idx="19">
                  <c:v>Galaxy A13 6/128GB A135FJ Light Blue</c:v>
                </c:pt>
                <c:pt idx="20">
                  <c:v>Galaxy A33 5G 6/128GB Light Blue</c:v>
                </c:pt>
                <c:pt idx="21">
                  <c:v>Galaxy A03 3/32GB Black</c:v>
                </c:pt>
                <c:pt idx="22">
                  <c:v>Lite LTE (32GB) Gray</c:v>
                </c:pt>
                <c:pt idx="23">
                  <c:v>Galaxy A23 A235FT 8/128GB Blue</c:v>
                </c:pt>
                <c:pt idx="24">
                  <c:v>Galaxy M32 M325FC 6/12GB Black</c:v>
                </c:pt>
                <c:pt idx="25">
                  <c:v>Galaxy A23 A235FH 6/128GB Black</c:v>
                </c:pt>
                <c:pt idx="26">
                  <c:v>Galaxy A32 8/128GB Blue</c:v>
                </c:pt>
                <c:pt idx="27">
                  <c:v>Galaxy S22 Ultra 12/512GB S908EH Dark Red</c:v>
                </c:pt>
                <c:pt idx="28">
                  <c:v>Galaxy S22 Ultra 12/256GB S908EG White</c:v>
                </c:pt>
                <c:pt idx="29">
                  <c:v>Z Fold3 (256GB) F926BD Bronze</c:v>
                </c:pt>
                <c:pt idx="30">
                  <c:v>Galaxy A52S 5G 8/128GB Light Violet</c:v>
                </c:pt>
                <c:pt idx="31">
                  <c:v>Galaxy F22 E225FH 6/128GB Light Blue</c:v>
                </c:pt>
                <c:pt idx="32">
                  <c:v>Galaxy M32 M325FC 6/128GB Light Blue</c:v>
                </c:pt>
                <c:pt idx="33">
                  <c:v>Galaxy S21FE 5G 8/128GB G990EI Light Violet</c:v>
                </c:pt>
                <c:pt idx="34">
                  <c:v>Galaxy S21FE 5G 8/128GB G990EI Gray</c:v>
                </c:pt>
                <c:pt idx="35">
                  <c:v>Galaxy A33 5G 8/128GB Light Blue</c:v>
                </c:pt>
                <c:pt idx="36">
                  <c:v>Galaxy S21 (128GB) G991BD Phantom Gray</c:v>
                </c:pt>
                <c:pt idx="37">
                  <c:v>Galaxy S22 8/128GB S901ED Pink</c:v>
                </c:pt>
                <c:pt idx="38">
                  <c:v>Galaxy S22 8/256GB S901EG White</c:v>
                </c:pt>
                <c:pt idx="39">
                  <c:v>BA Tab S8 LTE 8/128GB Pink Gold</c:v>
                </c:pt>
                <c:pt idx="40">
                  <c:v>Galaxy A03 3/32GB Red</c:v>
                </c:pt>
                <c:pt idx="41">
                  <c:v>Z Fold3 (256GB) F926BD Silver</c:v>
                </c:pt>
                <c:pt idx="42">
                  <c:v>BA Tab S8 Plus LTE 8/128GB Silver</c:v>
                </c:pt>
                <c:pt idx="43">
                  <c:v>Galaxy A32 - 6GB/128GB Blue</c:v>
                </c:pt>
                <c:pt idx="44">
                  <c:v>R860 Black</c:v>
                </c:pt>
                <c:pt idx="45">
                  <c:v>Galaxy A53 5G 6/128GB A536ED Orange</c:v>
                </c:pt>
                <c:pt idx="46">
                  <c:v>Galaxy S22 Ultra 12/256GB S908EG</c:v>
                </c:pt>
                <c:pt idx="47">
                  <c:v>Galaxy S22 8/256GB S901EG Phantom Black</c:v>
                </c:pt>
                <c:pt idx="48">
                  <c:v>Metro SM-B313E Gold</c:v>
                </c:pt>
                <c:pt idx="49">
                  <c:v>BA Tab S8 LTE 8/128GB Gray</c:v>
                </c:pt>
                <c:pt idx="50">
                  <c:v>SM-B313E,BLACK</c:v>
                </c:pt>
                <c:pt idx="51">
                  <c:v>BA Tab S8 Plus LTE 8/128GB Pink Gold</c:v>
                </c:pt>
                <c:pt idx="52">
                  <c:v>R860 Silver</c:v>
                </c:pt>
                <c:pt idx="53">
                  <c:v>Piton B315E White</c:v>
                </c:pt>
                <c:pt idx="54">
                  <c:v>Metro SM-B313E Gray</c:v>
                </c:pt>
                <c:pt idx="55">
                  <c:v>LTE 46mm R895 Silver</c:v>
                </c:pt>
                <c:pt idx="56">
                  <c:v>R860 Gold</c:v>
                </c:pt>
                <c:pt idx="57">
                  <c:v>R865 Silver</c:v>
                </c:pt>
                <c:pt idx="58">
                  <c:v> Piton B315E Gold</c:v>
                </c:pt>
                <c:pt idx="59">
                  <c:v>Galaxy A32 - 6GB/128GB Black</c:v>
                </c:pt>
                <c:pt idx="60">
                  <c:v>Eider E1215 White</c:v>
                </c:pt>
                <c:pt idx="61">
                  <c:v>BT 46mm R890 Silver</c:v>
                </c:pt>
                <c:pt idx="62">
                  <c:v>R875 Silver</c:v>
                </c:pt>
                <c:pt idx="63">
                  <c:v>Galaxy M52 5G (6/128) Light Blue</c:v>
                </c:pt>
                <c:pt idx="64">
                  <c:v>R865 Black</c:v>
                </c:pt>
                <c:pt idx="65">
                  <c:v>P613 Tab S6 Lite WIFI Pink</c:v>
                </c:pt>
                <c:pt idx="66">
                  <c:v>Galaxy A13 6/128GB A135FJ Black</c:v>
                </c:pt>
              </c:strCache>
            </c:strRef>
          </c:cat>
          <c:val>
            <c:numRef>
              <c:f>'Pivot table'!$B$42:$B$109</c:f>
              <c:numCache>
                <c:formatCode>General</c:formatCode>
                <c:ptCount val="67"/>
                <c:pt idx="0">
                  <c:v>21214254.8072</c:v>
                </c:pt>
                <c:pt idx="1">
                  <c:v>16318657.543999998</c:v>
                </c:pt>
                <c:pt idx="2">
                  <c:v>12112140.892399998</c:v>
                </c:pt>
                <c:pt idx="3">
                  <c:v>11175949.7784</c:v>
                </c:pt>
                <c:pt idx="4">
                  <c:v>9288495.1389999986</c:v>
                </c:pt>
                <c:pt idx="5">
                  <c:v>9191643.5591999982</c:v>
                </c:pt>
                <c:pt idx="6">
                  <c:v>8319577.7279999992</c:v>
                </c:pt>
                <c:pt idx="7">
                  <c:v>8255320.8751999987</c:v>
                </c:pt>
                <c:pt idx="8">
                  <c:v>7927127.1683999998</c:v>
                </c:pt>
                <c:pt idx="9">
                  <c:v>6776496.4715999998</c:v>
                </c:pt>
                <c:pt idx="10">
                  <c:v>6293098.8162000002</c:v>
                </c:pt>
                <c:pt idx="11">
                  <c:v>5046561.6959999995</c:v>
                </c:pt>
                <c:pt idx="12">
                  <c:v>4666188.8965999996</c:v>
                </c:pt>
                <c:pt idx="13">
                  <c:v>4516391.5192</c:v>
                </c:pt>
                <c:pt idx="14">
                  <c:v>3782777.7311999998</c:v>
                </c:pt>
                <c:pt idx="15">
                  <c:v>3298532.9183999994</c:v>
                </c:pt>
                <c:pt idx="16">
                  <c:v>2779174.2319999998</c:v>
                </c:pt>
                <c:pt idx="17">
                  <c:v>2513674.0313999997</c:v>
                </c:pt>
                <c:pt idx="18">
                  <c:v>2212430.6159999995</c:v>
                </c:pt>
                <c:pt idx="19">
                  <c:v>2207817.2879999997</c:v>
                </c:pt>
                <c:pt idx="20">
                  <c:v>2188715.3064000001</c:v>
                </c:pt>
                <c:pt idx="21">
                  <c:v>1956492.1324</c:v>
                </c:pt>
                <c:pt idx="22">
                  <c:v>1952497.2896</c:v>
                </c:pt>
                <c:pt idx="23">
                  <c:v>1919861.18</c:v>
                </c:pt>
                <c:pt idx="24">
                  <c:v>1616489.0799999998</c:v>
                </c:pt>
                <c:pt idx="25">
                  <c:v>1586645.3106</c:v>
                </c:pt>
                <c:pt idx="26">
                  <c:v>1482470.1198</c:v>
                </c:pt>
                <c:pt idx="27">
                  <c:v>1444568.2601999999</c:v>
                </c:pt>
                <c:pt idx="28">
                  <c:v>1437033.6651999999</c:v>
                </c:pt>
                <c:pt idx="29">
                  <c:v>1122508.7008</c:v>
                </c:pt>
                <c:pt idx="30">
                  <c:v>1056884.7708000001</c:v>
                </c:pt>
                <c:pt idx="31">
                  <c:v>1055463.9091999999</c:v>
                </c:pt>
                <c:pt idx="32">
                  <c:v>986058.33879999991</c:v>
                </c:pt>
                <c:pt idx="33">
                  <c:v>888957.62560000003</c:v>
                </c:pt>
                <c:pt idx="34">
                  <c:v>777837.92240000004</c:v>
                </c:pt>
                <c:pt idx="35">
                  <c:v>658253.93760000006</c:v>
                </c:pt>
                <c:pt idx="36">
                  <c:v>584792.31779999996</c:v>
                </c:pt>
                <c:pt idx="37">
                  <c:v>542416.35840000003</c:v>
                </c:pt>
                <c:pt idx="38">
                  <c:v>500982.21599999996</c:v>
                </c:pt>
                <c:pt idx="39">
                  <c:v>468022.42059999995</c:v>
                </c:pt>
                <c:pt idx="40">
                  <c:v>447981.84340000001</c:v>
                </c:pt>
                <c:pt idx="41">
                  <c:v>420940.76280000003</c:v>
                </c:pt>
                <c:pt idx="42">
                  <c:v>414346.97</c:v>
                </c:pt>
                <c:pt idx="43">
                  <c:v>362034.10079999996</c:v>
                </c:pt>
                <c:pt idx="44">
                  <c:v>316400.7868</c:v>
                </c:pt>
                <c:pt idx="45">
                  <c:v>315415.77</c:v>
                </c:pt>
                <c:pt idx="46">
                  <c:v>307935.75</c:v>
                </c:pt>
                <c:pt idx="47">
                  <c:v>286275.55199999997</c:v>
                </c:pt>
                <c:pt idx="48">
                  <c:v>284412.28479999996</c:v>
                </c:pt>
                <c:pt idx="49">
                  <c:v>267441.38319999998</c:v>
                </c:pt>
                <c:pt idx="50">
                  <c:v>248860.74919999999</c:v>
                </c:pt>
                <c:pt idx="51">
                  <c:v>248608.182</c:v>
                </c:pt>
                <c:pt idx="52">
                  <c:v>226000.56199999998</c:v>
                </c:pt>
                <c:pt idx="53">
                  <c:v>218594.15039999998</c:v>
                </c:pt>
                <c:pt idx="54">
                  <c:v>125476.00799999999</c:v>
                </c:pt>
                <c:pt idx="55">
                  <c:v>113002.18079999999</c:v>
                </c:pt>
                <c:pt idx="56">
                  <c:v>113000.28099999999</c:v>
                </c:pt>
                <c:pt idx="57">
                  <c:v>109234.3936</c:v>
                </c:pt>
                <c:pt idx="58">
                  <c:v>81972.806400000001</c:v>
                </c:pt>
                <c:pt idx="59">
                  <c:v>80452.022399999987</c:v>
                </c:pt>
                <c:pt idx="60">
                  <c:v>49903.143999999993</c:v>
                </c:pt>
                <c:pt idx="61">
                  <c:v>32958.8514</c:v>
                </c:pt>
                <c:pt idx="62">
                  <c:v>30133.718999999997</c:v>
                </c:pt>
                <c:pt idx="63">
                  <c:v>28527.007399999999</c:v>
                </c:pt>
                <c:pt idx="64">
                  <c:v>27308.598399999999</c:v>
                </c:pt>
                <c:pt idx="65">
                  <c:v>26367.984999999997</c:v>
                </c:pt>
                <c:pt idx="66">
                  <c:v>15998.675999999999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D-4A72-A66C-34136C5D6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9429008"/>
        <c:axId val="1559430672"/>
        <c:axId val="0"/>
      </c:bar3DChart>
      <c:catAx>
        <c:axId val="155942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30672"/>
        <c:crosses val="autoZero"/>
        <c:auto val="1"/>
        <c:lblAlgn val="ctr"/>
        <c:lblOffset val="100"/>
        <c:noMultiLvlLbl val="0"/>
      </c:catAx>
      <c:valAx>
        <c:axId val="155943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2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[Coding data.xlsx]Pivot table!PivotTable1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table'!$B$4:$B$16</c:f>
              <c:numCache>
                <c:formatCode>General</c:formatCode>
                <c:ptCount val="12"/>
                <c:pt idx="0">
                  <c:v>13531885.610600002</c:v>
                </c:pt>
                <c:pt idx="1">
                  <c:v>11148573.554199997</c:v>
                </c:pt>
                <c:pt idx="2">
                  <c:v>6073397.459999999</c:v>
                </c:pt>
                <c:pt idx="3">
                  <c:v>8145156.1342000002</c:v>
                </c:pt>
                <c:pt idx="4">
                  <c:v>19164105.437600002</c:v>
                </c:pt>
                <c:pt idx="5">
                  <c:v>6566738.6096000001</c:v>
                </c:pt>
                <c:pt idx="6">
                  <c:v>37204892.883200005</c:v>
                </c:pt>
                <c:pt idx="7">
                  <c:v>5206620.7428000001</c:v>
                </c:pt>
                <c:pt idx="8">
                  <c:v>19921023.411399998</c:v>
                </c:pt>
                <c:pt idx="9">
                  <c:v>15363486.271599999</c:v>
                </c:pt>
                <c:pt idx="10">
                  <c:v>11629509.788599998</c:v>
                </c:pt>
                <c:pt idx="11">
                  <c:v>23367457.187599998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6-4912-B43A-0AF57AA41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878528"/>
        <c:axId val="527623744"/>
      </c:lineChart>
      <c:catAx>
        <c:axId val="7718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23744"/>
        <c:crosses val="autoZero"/>
        <c:auto val="1"/>
        <c:lblAlgn val="ctr"/>
        <c:lblOffset val="100"/>
        <c:noMultiLvlLbl val="0"/>
      </c:catAx>
      <c:valAx>
        <c:axId val="52762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87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[Coding data.xlsx]Pivot table!PivotTable2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58092738407699"/>
          <c:y val="0.24939596092155147"/>
          <c:w val="0.67125196850393698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table'!$A$23:$A$30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'Pivot table'!$B$23:$B$30</c:f>
              <c:numCache>
                <c:formatCode>General</c:formatCode>
                <c:ptCount val="7"/>
                <c:pt idx="0">
                  <c:v>9892288.9732000008</c:v>
                </c:pt>
                <c:pt idx="1">
                  <c:v>52719883.850599989</c:v>
                </c:pt>
                <c:pt idx="2">
                  <c:v>14898724.344399998</c:v>
                </c:pt>
                <c:pt idx="3">
                  <c:v>32118229.2766</c:v>
                </c:pt>
                <c:pt idx="4">
                  <c:v>28049902.814400002</c:v>
                </c:pt>
                <c:pt idx="5">
                  <c:v>17676282.047199998</c:v>
                </c:pt>
                <c:pt idx="6">
                  <c:v>21967535.785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42-4C2D-83AC-ED809B13A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972032"/>
        <c:axId val="901962464"/>
      </c:lineChart>
      <c:catAx>
        <c:axId val="90197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62464"/>
        <c:crosses val="autoZero"/>
        <c:auto val="1"/>
        <c:lblAlgn val="ctr"/>
        <c:lblOffset val="100"/>
        <c:noMultiLvlLbl val="0"/>
      </c:catAx>
      <c:valAx>
        <c:axId val="9019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7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[Coding data.xlsx]Pivot table!PivotTable7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table'!$A$42:$A$109</c:f>
              <c:strCache>
                <c:ptCount val="67"/>
                <c:pt idx="0">
                  <c:v>Galaxy A13 4/64GB A135FG Light Blue</c:v>
                </c:pt>
                <c:pt idx="1">
                  <c:v>Galaxy A13 4/64GB A135FG Black</c:v>
                </c:pt>
                <c:pt idx="2">
                  <c:v>Galaxy S22 Ultra 12/256GB S908EG Burgundy Red</c:v>
                </c:pt>
                <c:pt idx="3">
                  <c:v>Galaxy S20FE 5G 8/128 G781BG Cloud Mint</c:v>
                </c:pt>
                <c:pt idx="4">
                  <c:v>Galaxy A13 4/128GB A135FH Light Blue</c:v>
                </c:pt>
                <c:pt idx="5">
                  <c:v>Galaxy A22 A226BJ 5G (8/128GB) Light Green</c:v>
                </c:pt>
                <c:pt idx="6">
                  <c:v>Galaxy A52S 5G 6/128GB</c:v>
                </c:pt>
                <c:pt idx="7">
                  <c:v>Galaxy A13 4/64GB A135FG Orange</c:v>
                </c:pt>
                <c:pt idx="8">
                  <c:v>Galaxy S20FE 5G 8/128 G781BG Cloud Navy</c:v>
                </c:pt>
                <c:pt idx="9">
                  <c:v>Galaxy A52S 5G 8/128GB Light</c:v>
                </c:pt>
                <c:pt idx="10">
                  <c:v>Galaxy A23 A235FH 6/128GB Light BLue</c:v>
                </c:pt>
                <c:pt idx="11">
                  <c:v>Galaxy A03 4/64GB Black</c:v>
                </c:pt>
                <c:pt idx="12">
                  <c:v>Galaxy A13 4/128GB A135FH Black</c:v>
                </c:pt>
                <c:pt idx="13">
                  <c:v>Galaxy S22 Ultra 12/256GB S908EG Black</c:v>
                </c:pt>
                <c:pt idx="14">
                  <c:v>Galaxy M32 5G 6/128GB Blue</c:v>
                </c:pt>
                <c:pt idx="15">
                  <c:v>Galaxy A22 A226BJ 5G (8/128GB) Gray</c:v>
                </c:pt>
                <c:pt idx="16">
                  <c:v>Galaxy A03 Core 2/32GB Black</c:v>
                </c:pt>
                <c:pt idx="17">
                  <c:v>Galaxy A23 A235FH 6/128GB Orange</c:v>
                </c:pt>
                <c:pt idx="18">
                  <c:v>Galaxy A22 A226BJ 5G (8/128GB) Grey</c:v>
                </c:pt>
                <c:pt idx="19">
                  <c:v>Galaxy A13 6/128GB A135FJ Light Blue</c:v>
                </c:pt>
                <c:pt idx="20">
                  <c:v>Galaxy A33 5G 6/128GB Light Blue</c:v>
                </c:pt>
                <c:pt idx="21">
                  <c:v>Galaxy A03 3/32GB Black</c:v>
                </c:pt>
                <c:pt idx="22">
                  <c:v>Lite LTE (32GB) Gray</c:v>
                </c:pt>
                <c:pt idx="23">
                  <c:v>Galaxy A23 A235FT 8/128GB Blue</c:v>
                </c:pt>
                <c:pt idx="24">
                  <c:v>Galaxy M32 M325FC 6/12GB Black</c:v>
                </c:pt>
                <c:pt idx="25">
                  <c:v>Galaxy A23 A235FH 6/128GB Black</c:v>
                </c:pt>
                <c:pt idx="26">
                  <c:v>Galaxy A32 8/128GB Blue</c:v>
                </c:pt>
                <c:pt idx="27">
                  <c:v>Galaxy S22 Ultra 12/512GB S908EH Dark Red</c:v>
                </c:pt>
                <c:pt idx="28">
                  <c:v>Galaxy S22 Ultra 12/256GB S908EG White</c:v>
                </c:pt>
                <c:pt idx="29">
                  <c:v>Z Fold3 (256GB) F926BD Bronze</c:v>
                </c:pt>
                <c:pt idx="30">
                  <c:v>Galaxy A52S 5G 8/128GB Light Violet</c:v>
                </c:pt>
                <c:pt idx="31">
                  <c:v>Galaxy F22 E225FH 6/128GB Light Blue</c:v>
                </c:pt>
                <c:pt idx="32">
                  <c:v>Galaxy M32 M325FC 6/128GB Light Blue</c:v>
                </c:pt>
                <c:pt idx="33">
                  <c:v>Galaxy S21FE 5G 8/128GB G990EI Light Violet</c:v>
                </c:pt>
                <c:pt idx="34">
                  <c:v>Galaxy S21FE 5G 8/128GB G990EI Gray</c:v>
                </c:pt>
                <c:pt idx="35">
                  <c:v>Galaxy A33 5G 8/128GB Light Blue</c:v>
                </c:pt>
                <c:pt idx="36">
                  <c:v>Galaxy S21 (128GB) G991BD Phantom Gray</c:v>
                </c:pt>
                <c:pt idx="37">
                  <c:v>Galaxy S22 8/128GB S901ED Pink</c:v>
                </c:pt>
                <c:pt idx="38">
                  <c:v>Galaxy S22 8/256GB S901EG White</c:v>
                </c:pt>
                <c:pt idx="39">
                  <c:v>BA Tab S8 LTE 8/128GB Pink Gold</c:v>
                </c:pt>
                <c:pt idx="40">
                  <c:v>Galaxy A03 3/32GB Red</c:v>
                </c:pt>
                <c:pt idx="41">
                  <c:v>Z Fold3 (256GB) F926BD Silver</c:v>
                </c:pt>
                <c:pt idx="42">
                  <c:v>BA Tab S8 Plus LTE 8/128GB Silver</c:v>
                </c:pt>
                <c:pt idx="43">
                  <c:v>Galaxy A32 - 6GB/128GB Blue</c:v>
                </c:pt>
                <c:pt idx="44">
                  <c:v>R860 Black</c:v>
                </c:pt>
                <c:pt idx="45">
                  <c:v>Galaxy A53 5G 6/128GB A536ED Orange</c:v>
                </c:pt>
                <c:pt idx="46">
                  <c:v>Galaxy S22 Ultra 12/256GB S908EG</c:v>
                </c:pt>
                <c:pt idx="47">
                  <c:v>Galaxy S22 8/256GB S901EG Phantom Black</c:v>
                </c:pt>
                <c:pt idx="48">
                  <c:v>Metro SM-B313E Gold</c:v>
                </c:pt>
                <c:pt idx="49">
                  <c:v>BA Tab S8 LTE 8/128GB Gray</c:v>
                </c:pt>
                <c:pt idx="50">
                  <c:v>SM-B313E,BLACK</c:v>
                </c:pt>
                <c:pt idx="51">
                  <c:v>BA Tab S8 Plus LTE 8/128GB Pink Gold</c:v>
                </c:pt>
                <c:pt idx="52">
                  <c:v>R860 Silver</c:v>
                </c:pt>
                <c:pt idx="53">
                  <c:v>Piton B315E White</c:v>
                </c:pt>
                <c:pt idx="54">
                  <c:v>Metro SM-B313E Gray</c:v>
                </c:pt>
                <c:pt idx="55">
                  <c:v>LTE 46mm R895 Silver</c:v>
                </c:pt>
                <c:pt idx="56">
                  <c:v>R860 Gold</c:v>
                </c:pt>
                <c:pt idx="57">
                  <c:v>R865 Silver</c:v>
                </c:pt>
                <c:pt idx="58">
                  <c:v> Piton B315E Gold</c:v>
                </c:pt>
                <c:pt idx="59">
                  <c:v>Galaxy A32 - 6GB/128GB Black</c:v>
                </c:pt>
                <c:pt idx="60">
                  <c:v>Eider E1215 White</c:v>
                </c:pt>
                <c:pt idx="61">
                  <c:v>BT 46mm R890 Silver</c:v>
                </c:pt>
                <c:pt idx="62">
                  <c:v>R875 Silver</c:v>
                </c:pt>
                <c:pt idx="63">
                  <c:v>Galaxy M52 5G (6/128) Light Blue</c:v>
                </c:pt>
                <c:pt idx="64">
                  <c:v>R865 Black</c:v>
                </c:pt>
                <c:pt idx="65">
                  <c:v>P613 Tab S6 Lite WIFI Pink</c:v>
                </c:pt>
                <c:pt idx="66">
                  <c:v>Galaxy A13 6/128GB A135FJ Black</c:v>
                </c:pt>
              </c:strCache>
            </c:strRef>
          </c:cat>
          <c:val>
            <c:numRef>
              <c:f>'Pivot table'!$B$42:$B$109</c:f>
              <c:numCache>
                <c:formatCode>General</c:formatCode>
                <c:ptCount val="67"/>
                <c:pt idx="0">
                  <c:v>21214254.8072</c:v>
                </c:pt>
                <c:pt idx="1">
                  <c:v>16318657.543999998</c:v>
                </c:pt>
                <c:pt idx="2">
                  <c:v>12112140.892399998</c:v>
                </c:pt>
                <c:pt idx="3">
                  <c:v>11175949.7784</c:v>
                </c:pt>
                <c:pt idx="4">
                  <c:v>9288495.1389999986</c:v>
                </c:pt>
                <c:pt idx="5">
                  <c:v>9191643.5591999982</c:v>
                </c:pt>
                <c:pt idx="6">
                  <c:v>8319577.7279999992</c:v>
                </c:pt>
                <c:pt idx="7">
                  <c:v>8255320.8751999987</c:v>
                </c:pt>
                <c:pt idx="8">
                  <c:v>7927127.1683999998</c:v>
                </c:pt>
                <c:pt idx="9">
                  <c:v>6776496.4715999998</c:v>
                </c:pt>
                <c:pt idx="10">
                  <c:v>6293098.8162000002</c:v>
                </c:pt>
                <c:pt idx="11">
                  <c:v>5046561.6959999995</c:v>
                </c:pt>
                <c:pt idx="12">
                  <c:v>4666188.8965999996</c:v>
                </c:pt>
                <c:pt idx="13">
                  <c:v>4516391.5192</c:v>
                </c:pt>
                <c:pt idx="14">
                  <c:v>3782777.7311999998</c:v>
                </c:pt>
                <c:pt idx="15">
                  <c:v>3298532.9183999994</c:v>
                </c:pt>
                <c:pt idx="16">
                  <c:v>2779174.2319999998</c:v>
                </c:pt>
                <c:pt idx="17">
                  <c:v>2513674.0313999997</c:v>
                </c:pt>
                <c:pt idx="18">
                  <c:v>2212430.6159999995</c:v>
                </c:pt>
                <c:pt idx="19">
                  <c:v>2207817.2879999997</c:v>
                </c:pt>
                <c:pt idx="20">
                  <c:v>2188715.3064000001</c:v>
                </c:pt>
                <c:pt idx="21">
                  <c:v>1956492.1324</c:v>
                </c:pt>
                <c:pt idx="22">
                  <c:v>1952497.2896</c:v>
                </c:pt>
                <c:pt idx="23">
                  <c:v>1919861.18</c:v>
                </c:pt>
                <c:pt idx="24">
                  <c:v>1616489.0799999998</c:v>
                </c:pt>
                <c:pt idx="25">
                  <c:v>1586645.3106</c:v>
                </c:pt>
                <c:pt idx="26">
                  <c:v>1482470.1198</c:v>
                </c:pt>
                <c:pt idx="27">
                  <c:v>1444568.2601999999</c:v>
                </c:pt>
                <c:pt idx="28">
                  <c:v>1437033.6651999999</c:v>
                </c:pt>
                <c:pt idx="29">
                  <c:v>1122508.7008</c:v>
                </c:pt>
                <c:pt idx="30">
                  <c:v>1056884.7708000001</c:v>
                </c:pt>
                <c:pt idx="31">
                  <c:v>1055463.9091999999</c:v>
                </c:pt>
                <c:pt idx="32">
                  <c:v>986058.33879999991</c:v>
                </c:pt>
                <c:pt idx="33">
                  <c:v>888957.62560000003</c:v>
                </c:pt>
                <c:pt idx="34">
                  <c:v>777837.92240000004</c:v>
                </c:pt>
                <c:pt idx="35">
                  <c:v>658253.93760000006</c:v>
                </c:pt>
                <c:pt idx="36">
                  <c:v>584792.31779999996</c:v>
                </c:pt>
                <c:pt idx="37">
                  <c:v>542416.35840000003</c:v>
                </c:pt>
                <c:pt idx="38">
                  <c:v>500982.21599999996</c:v>
                </c:pt>
                <c:pt idx="39">
                  <c:v>468022.42059999995</c:v>
                </c:pt>
                <c:pt idx="40">
                  <c:v>447981.84340000001</c:v>
                </c:pt>
                <c:pt idx="41">
                  <c:v>420940.76280000003</c:v>
                </c:pt>
                <c:pt idx="42">
                  <c:v>414346.97</c:v>
                </c:pt>
                <c:pt idx="43">
                  <c:v>362034.10079999996</c:v>
                </c:pt>
                <c:pt idx="44">
                  <c:v>316400.7868</c:v>
                </c:pt>
                <c:pt idx="45">
                  <c:v>315415.77</c:v>
                </c:pt>
                <c:pt idx="46">
                  <c:v>307935.75</c:v>
                </c:pt>
                <c:pt idx="47">
                  <c:v>286275.55199999997</c:v>
                </c:pt>
                <c:pt idx="48">
                  <c:v>284412.28479999996</c:v>
                </c:pt>
                <c:pt idx="49">
                  <c:v>267441.38319999998</c:v>
                </c:pt>
                <c:pt idx="50">
                  <c:v>248860.74919999999</c:v>
                </c:pt>
                <c:pt idx="51">
                  <c:v>248608.182</c:v>
                </c:pt>
                <c:pt idx="52">
                  <c:v>226000.56199999998</c:v>
                </c:pt>
                <c:pt idx="53">
                  <c:v>218594.15039999998</c:v>
                </c:pt>
                <c:pt idx="54">
                  <c:v>125476.00799999999</c:v>
                </c:pt>
                <c:pt idx="55">
                  <c:v>113002.18079999999</c:v>
                </c:pt>
                <c:pt idx="56">
                  <c:v>113000.28099999999</c:v>
                </c:pt>
                <c:pt idx="57">
                  <c:v>109234.3936</c:v>
                </c:pt>
                <c:pt idx="58">
                  <c:v>81972.806400000001</c:v>
                </c:pt>
                <c:pt idx="59">
                  <c:v>80452.022399999987</c:v>
                </c:pt>
                <c:pt idx="60">
                  <c:v>49903.143999999993</c:v>
                </c:pt>
                <c:pt idx="61">
                  <c:v>32958.8514</c:v>
                </c:pt>
                <c:pt idx="62">
                  <c:v>30133.718999999997</c:v>
                </c:pt>
                <c:pt idx="63">
                  <c:v>28527.007399999999</c:v>
                </c:pt>
                <c:pt idx="64">
                  <c:v>27308.598399999999</c:v>
                </c:pt>
                <c:pt idx="65">
                  <c:v>26367.984999999997</c:v>
                </c:pt>
                <c:pt idx="66">
                  <c:v>15998.675999999999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4-46A2-9CF1-E34E2F82F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9429008"/>
        <c:axId val="1559430672"/>
        <c:axId val="0"/>
      </c:bar3DChart>
      <c:catAx>
        <c:axId val="155942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30672"/>
        <c:crosses val="autoZero"/>
        <c:auto val="1"/>
        <c:lblAlgn val="ctr"/>
        <c:lblOffset val="100"/>
        <c:noMultiLvlLbl val="0"/>
      </c:catAx>
      <c:valAx>
        <c:axId val="155943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2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[Coding data.xlsx] Pivot 2!PivotTable11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Pivot 2'!$B$3:$B$4</c:f>
              <c:strCache>
                <c:ptCount val="1"/>
                <c:pt idx="0">
                  <c:v>Midrange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 Pivot 2'!$A$5:$A$11</c:f>
              <c:strCache>
                <c:ptCount val="6"/>
                <c:pt idx="0">
                  <c:v>Hyderabad</c:v>
                </c:pt>
                <c:pt idx="1">
                  <c:v>Karnataka</c:v>
                </c:pt>
                <c:pt idx="2">
                  <c:v>Kerala</c:v>
                </c:pt>
                <c:pt idx="3">
                  <c:v>kerala North</c:v>
                </c:pt>
                <c:pt idx="4">
                  <c:v>Kerala south</c:v>
                </c:pt>
                <c:pt idx="5">
                  <c:v>Tamilnadu</c:v>
                </c:pt>
              </c:strCache>
            </c:strRef>
          </c:cat>
          <c:val>
            <c:numRef>
              <c:f>' Pivot 2'!$B$5:$B$11</c:f>
              <c:numCache>
                <c:formatCode>0</c:formatCode>
                <c:ptCount val="6"/>
                <c:pt idx="0">
                  <c:v>284412.28479999996</c:v>
                </c:pt>
                <c:pt idx="1">
                  <c:v>573457.85140000004</c:v>
                </c:pt>
                <c:pt idx="2">
                  <c:v>81972.806400000001</c:v>
                </c:pt>
                <c:pt idx="3">
                  <c:v>3028034.9811999998</c:v>
                </c:pt>
                <c:pt idx="4">
                  <c:v>49903.143999999993</c:v>
                </c:pt>
                <c:pt idx="5">
                  <c:v>2175086.2828000002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8-4379-8ECB-EA7C86A92A39}"/>
            </c:ext>
          </c:extLst>
        </c:ser>
        <c:ser>
          <c:idx val="1"/>
          <c:order val="1"/>
          <c:tx>
            <c:strRef>
              <c:f>' Pivot 2'!$C$3:$C$4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 Pivot 2'!$A$5:$A$11</c:f>
              <c:strCache>
                <c:ptCount val="6"/>
                <c:pt idx="0">
                  <c:v>Hyderabad</c:v>
                </c:pt>
                <c:pt idx="1">
                  <c:v>Karnataka</c:v>
                </c:pt>
                <c:pt idx="2">
                  <c:v>Kerala</c:v>
                </c:pt>
                <c:pt idx="3">
                  <c:v>kerala North</c:v>
                </c:pt>
                <c:pt idx="4">
                  <c:v>Kerala south</c:v>
                </c:pt>
                <c:pt idx="5">
                  <c:v>Tamilnadu</c:v>
                </c:pt>
              </c:strCache>
            </c:strRef>
          </c:cat>
          <c:val>
            <c:numRef>
              <c:f>' Pivot 2'!$C$5:$C$11</c:f>
              <c:numCache>
                <c:formatCode>0</c:formatCode>
                <c:ptCount val="6"/>
                <c:pt idx="0">
                  <c:v>42411494.3684</c:v>
                </c:pt>
                <c:pt idx="1">
                  <c:v>30542016.699999999</c:v>
                </c:pt>
                <c:pt idx="2">
                  <c:v>21618365.395199995</c:v>
                </c:pt>
                <c:pt idx="3">
                  <c:v>18906260.121199995</c:v>
                </c:pt>
                <c:pt idx="4">
                  <c:v>35917339.411400005</c:v>
                </c:pt>
                <c:pt idx="5">
                  <c:v>21734503.744599998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E8-4379-8ECB-EA7C86A92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01961632"/>
        <c:axId val="901967040"/>
        <c:axId val="0"/>
      </c:bar3DChart>
      <c:catAx>
        <c:axId val="90196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67040"/>
        <c:crosses val="autoZero"/>
        <c:auto val="1"/>
        <c:lblAlgn val="ctr"/>
        <c:lblOffset val="100"/>
        <c:noMultiLvlLbl val="0"/>
      </c:catAx>
      <c:valAx>
        <c:axId val="9019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6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0</xdr:row>
      <xdr:rowOff>119062</xdr:rowOff>
    </xdr:from>
    <xdr:to>
      <xdr:col>11</xdr:col>
      <xdr:colOff>476250</xdr:colOff>
      <xdr:row>15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3D0C5-D762-459E-8017-2EAB1B1EC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</xdr:row>
      <xdr:rowOff>147637</xdr:rowOff>
    </xdr:from>
    <xdr:to>
      <xdr:col>10</xdr:col>
      <xdr:colOff>514350</xdr:colOff>
      <xdr:row>16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68909B-7F88-4641-9B3F-4DB9D4183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19</xdr:row>
      <xdr:rowOff>80962</xdr:rowOff>
    </xdr:from>
    <xdr:to>
      <xdr:col>10</xdr:col>
      <xdr:colOff>523875</xdr:colOff>
      <xdr:row>33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3E4F5F-C114-4430-8637-5E82939CE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142875</xdr:colOff>
      <xdr:row>68</xdr:row>
      <xdr:rowOff>176212</xdr:rowOff>
    </xdr:from>
    <xdr:to>
      <xdr:col>9</xdr:col>
      <xdr:colOff>447675</xdr:colOff>
      <xdr:row>83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B22AEE-CA86-4771-B294-7925C6584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9</xdr:col>
      <xdr:colOff>304800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F50B51-FBA9-423B-8B15-62FE43713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18</xdr:col>
      <xdr:colOff>304800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66A689-9BC6-47DF-AD46-D25C12CC3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28</xdr:row>
      <xdr:rowOff>28575</xdr:rowOff>
    </xdr:from>
    <xdr:to>
      <xdr:col>9</xdr:col>
      <xdr:colOff>304800</xdr:colOff>
      <xdr:row>42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05090E-BC08-463F-8D0D-E234FC940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28</xdr:row>
      <xdr:rowOff>0</xdr:rowOff>
    </xdr:from>
    <xdr:to>
      <xdr:col>20</xdr:col>
      <xdr:colOff>304800</xdr:colOff>
      <xdr:row>42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EB845B-7210-437A-A644-D90229965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61.40648784722" createdVersion="7" refreshedVersion="7" minRefreshableVersion="3" recordCount="67" xr:uid="{478DB77C-FAF3-4F0C-9BD3-2E7A0F48BA33}">
  <cacheSource type="worksheet">
    <worksheetSource ref="A1:H68" sheet="Table2"/>
  </cacheSource>
  <cacheFields count="9">
    <cacheField name="Order ID" numFmtId="0">
      <sharedItems containsSemiMixedTypes="0" containsString="0" containsNumber="1" containsInteger="1" minValue="10203" maxValue="98766"/>
    </cacheField>
    <cacheField name="Order Name" numFmtId="0">
      <sharedItems containsSemiMixedTypes="0" containsString="0" containsNumber="1" containsInteger="1" minValue="1001" maxValue="1067"/>
    </cacheField>
    <cacheField name="Date" numFmtId="14">
      <sharedItems containsSemiMixedTypes="0" containsNonDate="0" containsDate="1" containsString="0" minDate="2025-01-01T00:00:00" maxDate="2025-12-11T00:00:00" count="67">
        <d v="2025-01-01T00:00:00"/>
        <d v="2025-03-01T00:00:00"/>
        <d v="2025-05-01T00:00:00"/>
        <d v="2025-07-01T00:00:00"/>
        <d v="2025-09-01T00:00:00"/>
        <d v="2025-11-01T00:00:00"/>
        <d v="2025-02-02T00:00:00"/>
        <d v="2025-04-02T00:00:00"/>
        <d v="2025-06-02T00:00:00"/>
        <d v="2025-08-02T00:00:00"/>
        <d v="2025-10-02T00:00:00"/>
        <d v="2025-12-02T00:00:00"/>
        <d v="2025-01-03T00:00:00"/>
        <d v="2025-03-03T00:00:00"/>
        <d v="2025-05-03T00:00:00"/>
        <d v="2025-07-03T00:00:00"/>
        <d v="2025-09-03T00:00:00"/>
        <d v="2025-11-03T00:00:00"/>
        <d v="2025-02-04T00:00:00"/>
        <d v="2025-04-04T00:00:00"/>
        <d v="2025-06-04T00:00:00"/>
        <d v="2025-08-04T00:00:00"/>
        <d v="2025-10-04T00:00:00"/>
        <d v="2025-12-04T00:00:00"/>
        <d v="2025-01-05T00:00:00"/>
        <d v="2025-03-05T00:00:00"/>
        <d v="2025-05-05T00:00:00"/>
        <d v="2025-07-05T00:00:00"/>
        <d v="2025-09-05T00:00:00"/>
        <d v="2025-11-05T00:00:00"/>
        <d v="2025-02-06T00:00:00"/>
        <d v="2025-04-06T00:00:00"/>
        <d v="2025-06-06T00:00:00"/>
        <d v="2025-08-06T00:00:00"/>
        <d v="2025-10-06T00:00:00"/>
        <d v="2025-12-06T00:00:00"/>
        <d v="2025-01-07T00:00:00"/>
        <d v="2025-03-07T00:00:00"/>
        <d v="2025-05-07T00:00:00"/>
        <d v="2025-07-07T00:00:00"/>
        <d v="2025-09-07T00:00:00"/>
        <d v="2025-11-07T00:00:00"/>
        <d v="2025-02-08T00:00:00"/>
        <d v="2025-04-08T00:00:00"/>
        <d v="2025-06-08T00:00:00"/>
        <d v="2025-08-08T00:00:00"/>
        <d v="2025-10-08T00:00:00"/>
        <d v="2025-12-08T00:00:00"/>
        <d v="2025-01-09T00:00:00"/>
        <d v="2025-03-09T00:00:00"/>
        <d v="2025-05-09T00:00:00"/>
        <d v="2025-07-09T00:00:00"/>
        <d v="2025-09-09T00:00:00"/>
        <d v="2025-11-09T00:00:00"/>
        <d v="2025-02-10T00:00:00"/>
        <d v="2025-04-10T00:00:00"/>
        <d v="2025-06-10T00:00:00"/>
        <d v="2025-08-10T00:00:00"/>
        <d v="2025-10-10T00:00:00"/>
        <d v="2025-12-10T00:00:00"/>
        <d v="2025-01-11T00:00:00"/>
        <d v="2025-03-11T00:00:00"/>
        <d v="2025-05-11T00:00:00"/>
        <d v="2025-07-11T00:00:00"/>
        <d v="2025-09-11T00:00:00"/>
        <d v="2025-11-11T00:00:00"/>
        <d v="2025-02-12T00:00:00"/>
      </sharedItems>
      <fieldGroup par="8" base="2">
        <rangePr groupBy="days" startDate="2025-01-01T00:00:00" endDate="2025-12-1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1/2025"/>
        </groupItems>
      </fieldGroup>
    </cacheField>
    <cacheField name="Weekday" numFmtId="1">
      <sharedItems containsSemiMixedTypes="0" containsString="0" containsNumber="1" containsInteger="1" minValue="1" maxValue="7" count="7">
        <n v="4"/>
        <n v="7"/>
        <n v="5"/>
        <n v="3"/>
        <n v="2"/>
        <n v="1"/>
        <n v="6"/>
      </sharedItems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1547"/>
    </cacheField>
    <cacheField name="Sales Amount" numFmtId="1">
      <sharedItems containsSemiMixedTypes="0" containsString="0" containsNumber="1" minValue="15998.675999999999" maxValue="21214254.8072"/>
    </cacheField>
    <cacheField name="Mob Price" numFmtId="2">
      <sharedItems containsSemiMixedTypes="0" containsString="0" containsNumber="1" minValue="1247.5785999999998" maxValue="140313.5876"/>
    </cacheField>
    <cacheField name="Months" numFmtId="0" databaseField="0">
      <fieldGroup base="2">
        <rangePr groupBy="months" startDate="2025-01-01T00:00:00" endDate="2025-12-1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61.455648263887" backgroundQuery="1" createdVersion="7" refreshedVersion="7" minRefreshableVersion="3" recordCount="0" supportSubquery="1" supportAdvancedDrill="1" xr:uid="{819BC829-F762-4657-AA06-5E7D124C1784}">
  <cacheSource type="external" connectionId="1"/>
  <cacheFields count="2">
    <cacheField name="[Range].[Product Name].[Product Name]" caption="Product Name" numFmtId="0" hierarchy="8" level="1">
      <sharedItems count="67">
        <s v=" Piton B315E Gold"/>
        <s v="BA Tab S8 LTE 8/128GB Gray"/>
        <s v="BA Tab S8 LTE 8/128GB Pink Gold"/>
        <s v="BA Tab S8 Plus LTE 8/128GB Pink Gold"/>
        <s v="BA Tab S8 Plus LTE 8/128GB Silver"/>
        <s v="BT 46mm R890 Silver"/>
        <s v="Eider E1215 White"/>
        <s v="Galaxy A03 3/32GB Black"/>
        <s v="Galaxy A03 3/32GB Red"/>
        <s v="Galaxy A03 4/64GB Black"/>
        <s v="Galaxy A03 Core 2/32GB Black"/>
        <s v="Galaxy A13 4/128GB A135FH Black"/>
        <s v="Galaxy A13 4/128GB A135FH Light Blue"/>
        <s v="Galaxy A13 4/64GB A135FG Black"/>
        <s v="Galaxy A13 4/64GB A135FG Light Blue"/>
        <s v="Galaxy A13 4/64GB A135FG Orange"/>
        <s v="Galaxy A13 6/128GB A135FJ Black"/>
        <s v="Galaxy A13 6/128GB A135FJ Light Blue"/>
        <s v="Galaxy A22 A226BJ 5G (8/128GB) Gray"/>
        <s v="Galaxy A22 A226BJ 5G (8/128GB) Grey"/>
        <s v="Galaxy A22 A226BJ 5G (8/128GB) Light Green"/>
        <s v="Galaxy A23 A235FH 6/128GB Black"/>
        <s v="Galaxy A23 A235FH 6/128GB Light BLue"/>
        <s v="Galaxy A23 A235FH 6/128GB Orange"/>
        <s v="Galaxy A23 A235FT 8/128GB Blue"/>
        <s v="Galaxy A32 - 6GB/128GB Black"/>
        <s v="Galaxy A32 - 6GB/128GB Blue"/>
        <s v="Galaxy A32 8/128GB Blue"/>
        <s v="Galaxy A33 5G 6/128GB Light Blue"/>
        <s v="Galaxy A33 5G 8/128GB Light Blue"/>
        <s v="Galaxy A52S 5G 6/128GB"/>
        <s v="Galaxy A52S 5G 8/128GB Light"/>
        <s v="Galaxy A52S 5G 8/128GB Light Violet"/>
        <s v="Galaxy A53 5G 6/128GB A536ED Orange"/>
        <s v="Galaxy F22 E225FH 6/128GB Light Blue"/>
        <s v="Galaxy M32 5G 6/128GB Blue"/>
        <s v="Galaxy M32 M325FC 6/128GB Light Blue"/>
        <s v="Galaxy M32 M325FC 6/12GB Black"/>
        <s v="Galaxy M52 5G (6/128) Light Blue"/>
        <s v="Galaxy S20FE 5G 8/128 G781BG Cloud Mint"/>
        <s v="Galaxy S20FE 5G 8/128 G781BG Cloud Navy"/>
        <s v="Galaxy S21 (128GB) G991BD Phantom Gray"/>
        <s v="Galaxy S21FE 5G 8/128GB G990EI Gray"/>
        <s v="Galaxy S21FE 5G 8/128GB G990EI Light Violet"/>
        <s v="Galaxy S22 8/128GB S901ED Pink"/>
        <s v="Galaxy S22 8/256GB S901EG Phantom Black"/>
        <s v="Galaxy S22 8/256GB S901EG White"/>
        <s v="Galaxy S22 Ultra 12/256GB S908EG"/>
        <s v="Galaxy S22 Ultra 12/256GB S908EG Black"/>
        <s v="Galaxy S22 Ultra 12/256GB S908EG Burgundy Red"/>
        <s v="Galaxy S22 Ultra 12/256GB S908EG White"/>
        <s v="Galaxy S22 Ultra 12/512GB S908EH Dark Red"/>
        <s v="Lite LTE (32GB) Gray"/>
        <s v="LTE 46mm R895 Silver"/>
        <s v="Metro SM-B313E Gold"/>
        <s v="Metro SM-B313E Gray"/>
        <s v="P613 Tab S6 Lite WIFI Pink"/>
        <s v="Piton B315E White"/>
        <s v="R860 Black"/>
        <s v="R860 Gold"/>
        <s v="R860 Silver"/>
        <s v="R865 Black"/>
        <s v="R865 Silver"/>
        <s v="R875 Silver"/>
        <s v="SM-B313E,BLACK"/>
        <s v="Z Fold3 (256GB) F926BD Bronze"/>
        <s v="Z Fold3 (256GB) F926BD Silver"/>
      </sharedItems>
    </cacheField>
    <cacheField name="[Measures].[Sum of Sales Amount]" caption="Sum of Sales Amount" numFmtId="0" hierarchy="12" level="32767"/>
  </cacheFields>
  <cacheHierarchies count="13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Order Name]" caption="Order Name" attribute="1" defaultMemberUniqueName="[Range].[Order Name].[All]" allUniqueName="[Range].[Order Name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day]" caption="Weekday" attribute="1" defaultMemberUniqueName="[Range].[Weekday].[All]" allUniqueName="[Range].[Weekday].[All]" dimensionUniqueName="[Range]" displayFolder="" count="0" memberValueDatatype="2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2" memberValueDatatype="5" unbalanced="0"/>
    <cacheHierarchy uniqueName="[Range].[Mob Price]" caption="Mob Price" attribute="1" defaultMemberUniqueName="[Range].[Mob Price].[All]" allUniqueName="[Range].[Mob Price].[All]" dimensionUniqueName="[Range]" displayFolder="" count="0" memberValueDatatype="5" unbalanced="0"/>
    <cacheHierarchy uniqueName="[Range].[Product Name]" caption="Product Name" attribute="1" defaultMemberUniqueName="[Range].[Product Name].[All]" allUniqueName="[Range].[Product Name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ob Price]" caption="Sum of Mob Pric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es Amount]" caption="Sum of Sales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61.481910416667" createdVersion="7" refreshedVersion="7" minRefreshableVersion="3" recordCount="67" xr:uid="{BD5D8683-AF4C-47CC-A956-4FFE6F64CF2A}">
  <cacheSource type="worksheet">
    <worksheetSource ref="A1:S68" sheet="Table2"/>
  </cacheSource>
  <cacheFields count="19">
    <cacheField name="Order ID" numFmtId="0">
      <sharedItems containsSemiMixedTypes="0" containsString="0" containsNumber="1" containsInteger="1" minValue="10203" maxValue="98766"/>
    </cacheField>
    <cacheField name="Order Name" numFmtId="0">
      <sharedItems containsSemiMixedTypes="0" containsString="0" containsNumber="1" containsInteger="1" minValue="1001" maxValue="1067"/>
    </cacheField>
    <cacheField name="Date" numFmtId="14">
      <sharedItems containsSemiMixedTypes="0" containsNonDate="0" containsDate="1" containsString="0" minDate="2025-01-01T00:00:00" maxDate="2025-12-11T00:00:00"/>
    </cacheField>
    <cacheField name="Weekday" numFmtId="1">
      <sharedItems containsSemiMixedTypes="0" containsString="0" containsNumber="1" containsInteger="1" minValue="1" maxValue="7"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1547"/>
    </cacheField>
    <cacheField name="Sales Amount" numFmtId="1">
      <sharedItems containsSemiMixedTypes="0" containsString="0" containsNumber="1" minValue="15998.675999999999" maxValue="21214254.8072"/>
    </cacheField>
    <cacheField name="Mob Price" numFmtId="2">
      <sharedItems containsSemiMixedTypes="0" containsString="0" containsNumber="1" minValue="1247.5785999999998" maxValue="140313.5876"/>
    </cacheField>
    <cacheField name="Product Name" numFmtId="0">
      <sharedItems/>
    </cacheField>
    <cacheField name="Product ID2" numFmtId="0">
      <sharedItems/>
    </cacheField>
    <cacheField name="Product Name2" numFmtId="0">
      <sharedItems/>
    </cacheField>
    <cacheField name="Mob Price2" numFmtId="2">
      <sharedItems containsSemiMixedTypes="0" containsString="0" containsNumber="1" minValue="1247.5785999999998" maxValue="140313.5876"/>
    </cacheField>
    <cacheField name="Category" numFmtId="2">
      <sharedItems count="2">
        <s v="Midrange"/>
        <s v="Premium"/>
      </sharedItems>
    </cacheField>
    <cacheField name="Product ID3" numFmtId="0">
      <sharedItems/>
    </cacheField>
    <cacheField name="Product Name3" numFmtId="0">
      <sharedItems/>
    </cacheField>
    <cacheField name="Mob Price3" numFmtId="2">
      <sharedItems containsSemiMixedTypes="0" containsString="0" containsNumber="1" minValue="1247.5785999999998" maxValue="140313.5876"/>
    </cacheField>
    <cacheField name="Category2" numFmtId="2">
      <sharedItems/>
    </cacheField>
    <cacheField name="Region ID" numFmtId="0">
      <sharedItems/>
    </cacheField>
    <cacheField name="Region Name" numFmtId="0">
      <sharedItems count="6">
        <s v="Kerala"/>
        <s v="Tamilnadu"/>
        <s v="Karnataka"/>
        <s v="Hyderabad"/>
        <s v="Kerala south"/>
        <s v="kerala Nor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78453"/>
    <n v="1001"/>
    <x v="0"/>
    <x v="0"/>
    <s v="SM-B315EZDDINS"/>
    <n v="48"/>
    <n v="81972.806400000001"/>
    <n v="1707.7667999999999"/>
  </r>
  <r>
    <n v="24587"/>
    <n v="1002"/>
    <x v="1"/>
    <x v="1"/>
    <s v="SM-B315EZWDINS"/>
    <n v="128"/>
    <n v="218594.15039999998"/>
    <n v="1707.7667999999999"/>
  </r>
  <r>
    <n v="34598"/>
    <n v="1003"/>
    <x v="2"/>
    <x v="2"/>
    <s v="SM-B313EZADINS"/>
    <n v="60"/>
    <n v="125476.00799999999"/>
    <n v="2091.2667999999999"/>
  </r>
  <r>
    <n v="56732"/>
    <n v="1004"/>
    <x v="3"/>
    <x v="3"/>
    <s v="SM-B313EZDDINS"/>
    <n v="136"/>
    <n v="284412.28479999996"/>
    <n v="2091.2667999999999"/>
  </r>
  <r>
    <n v="98712"/>
    <n v="1005"/>
    <x v="4"/>
    <x v="4"/>
    <s v="GT-E1215ZWAINS"/>
    <n v="40"/>
    <n v="49903.143999999993"/>
    <n v="1247.5785999999998"/>
  </r>
  <r>
    <n v="43517"/>
    <n v="1006"/>
    <x v="5"/>
    <x v="1"/>
    <s v="SM-B313EZKDINS"/>
    <n v="119"/>
    <n v="248860.74919999999"/>
    <n v="2091.2667999999999"/>
  </r>
  <r>
    <n v="98065"/>
    <n v="1007"/>
    <x v="6"/>
    <x v="5"/>
    <s v="SM-E225FLBHINS"/>
    <n v="74"/>
    <n v="1055463.9091999999"/>
    <n v="14263.025799999999"/>
  </r>
  <r>
    <n v="23508"/>
    <n v="1008"/>
    <x v="7"/>
    <x v="0"/>
    <s v="SM-M325FLBCINS"/>
    <n v="61"/>
    <n v="986058.33879999991"/>
    <n v="16164.890799999999"/>
  </r>
  <r>
    <n v="90123"/>
    <n v="1009"/>
    <x v="8"/>
    <x v="4"/>
    <s v="SM-M325FZKCINS"/>
    <n v="100"/>
    <n v="1616489.0799999998"/>
    <n v="16164.890799999999"/>
  </r>
  <r>
    <n v="76509"/>
    <n v="1010"/>
    <x v="9"/>
    <x v="1"/>
    <s v="SM-M326BZBIINS"/>
    <n v="234"/>
    <n v="3782777.7311999998"/>
    <n v="16165.7168"/>
  </r>
  <r>
    <n v="45620"/>
    <n v="1011"/>
    <x v="10"/>
    <x v="2"/>
    <s v="SM-M526BLBHINU"/>
    <n v="1"/>
    <n v="28527.007399999999"/>
    <n v="28527.007399999999"/>
  </r>
  <r>
    <n v="13250"/>
    <n v="1012"/>
    <x v="11"/>
    <x v="3"/>
    <s v="SM-A032FCKDINS"/>
    <n v="380"/>
    <n v="2779174.2319999998"/>
    <n v="7313.616399999999"/>
  </r>
  <r>
    <n v="90812"/>
    <n v="1013"/>
    <x v="12"/>
    <x v="6"/>
    <s v="SM-A035FZK5INS"/>
    <n v="480"/>
    <n v="5046561.6959999995"/>
    <n v="10513.670199999999"/>
  </r>
  <r>
    <n v="67801"/>
    <n v="1014"/>
    <x v="13"/>
    <x v="4"/>
    <s v="SM-A035FZK6INS"/>
    <n v="214"/>
    <n v="1956492.1324"/>
    <n v="9142.4866000000002"/>
  </r>
  <r>
    <n v="32467"/>
    <n v="1015"/>
    <x v="14"/>
    <x v="1"/>
    <s v="SM-A035FZR6INS"/>
    <n v="49"/>
    <n v="447981.84340000001"/>
    <n v="9142.4866000000002"/>
  </r>
  <r>
    <n v="12345"/>
    <n v="1016"/>
    <x v="15"/>
    <x v="2"/>
    <s v="SM-A135FLBGINS"/>
    <n v="1547"/>
    <n v="21214254.8072"/>
    <n v="13713.157599999999"/>
  </r>
  <r>
    <n v="90876"/>
    <n v="1017"/>
    <x v="16"/>
    <x v="0"/>
    <s v="SM-A135FZKGINS"/>
    <n v="1190"/>
    <n v="16318657.543999998"/>
    <n v="13713.157599999999"/>
  </r>
  <r>
    <n v="98765"/>
    <n v="1018"/>
    <x v="17"/>
    <x v="4"/>
    <s v="SM-A135FZOGINS"/>
    <n v="602"/>
    <n v="8255320.8751999987"/>
    <n v="13713.157599999999"/>
  </r>
  <r>
    <n v="34567"/>
    <n v="1019"/>
    <x v="18"/>
    <x v="3"/>
    <s v="SM-A135FLBHINS"/>
    <n v="635"/>
    <n v="9288495.1389999986"/>
    <n v="14627.551399999998"/>
  </r>
  <r>
    <n v="75209"/>
    <n v="1020"/>
    <x v="19"/>
    <x v="6"/>
    <s v="SM-A135FZKHINS"/>
    <n v="319"/>
    <n v="4666188.8965999996"/>
    <n v="14627.551399999998"/>
  </r>
  <r>
    <n v="24680"/>
    <n v="1021"/>
    <x v="20"/>
    <x v="0"/>
    <s v="SM-A135FLBJINS"/>
    <n v="138"/>
    <n v="2207817.2879999997"/>
    <n v="15998.675999999999"/>
  </r>
  <r>
    <n v="13579"/>
    <n v="1022"/>
    <x v="21"/>
    <x v="4"/>
    <s v="SM-A135FZKJINS"/>
    <n v="1"/>
    <n v="15998.675999999999"/>
    <n v="15998.675999999999"/>
  </r>
  <r>
    <n v="10203"/>
    <n v="1023"/>
    <x v="22"/>
    <x v="1"/>
    <s v="SM-A235FLBHINS"/>
    <n v="353"/>
    <n v="6293098.8162000002"/>
    <n v="17827.475399999999"/>
  </r>
  <r>
    <n v="20406"/>
    <n v="1024"/>
    <x v="23"/>
    <x v="2"/>
    <s v="SM-A235FZKHINS"/>
    <n v="89"/>
    <n v="1586645.3106"/>
    <n v="17827.475399999999"/>
  </r>
  <r>
    <n v="87904"/>
    <n v="1025"/>
    <x v="24"/>
    <x v="5"/>
    <s v="SM-A235FZOHINS"/>
    <n v="141"/>
    <n v="2513674.0313999997"/>
    <n v="17827.475399999999"/>
  </r>
  <r>
    <n v="67823"/>
    <n v="1026"/>
    <x v="25"/>
    <x v="0"/>
    <s v="SM-A235FLBTINS"/>
    <n v="100"/>
    <n v="1919861.18"/>
    <n v="19198.611799999999"/>
  </r>
  <r>
    <n v="30335"/>
    <n v="1027"/>
    <x v="26"/>
    <x v="4"/>
    <s v="SM-A226BLG6INS"/>
    <n v="457"/>
    <n v="9191643.5591999982"/>
    <n v="20113.005599999997"/>
  </r>
  <r>
    <n v="88657"/>
    <n v="1028"/>
    <x v="27"/>
    <x v="1"/>
    <s v="SM-A226BZA6INS"/>
    <n v="164"/>
    <n v="3298532.9183999994"/>
    <n v="20113.005599999997"/>
  </r>
  <r>
    <n v="33456"/>
    <n v="1029"/>
    <x v="28"/>
    <x v="6"/>
    <s v="SM-A226BZAJINS"/>
    <n v="110"/>
    <n v="2212430.6159999995"/>
    <n v="20113.005599999997"/>
  </r>
  <r>
    <n v="25330"/>
    <n v="1030"/>
    <x v="29"/>
    <x v="0"/>
    <s v="SM-A325FZBHINS"/>
    <n v="18"/>
    <n v="362034.10079999996"/>
    <n v="20113.005599999997"/>
  </r>
  <r>
    <n v="45666"/>
    <n v="1031"/>
    <x v="30"/>
    <x v="2"/>
    <s v="SM-A325FZKHINS"/>
    <n v="4"/>
    <n v="80452.022399999987"/>
    <n v="20113.005599999997"/>
  </r>
  <r>
    <n v="23443"/>
    <n v="1032"/>
    <x v="31"/>
    <x v="5"/>
    <s v="SM-A325FZBIINS"/>
    <n v="69"/>
    <n v="1482470.1198"/>
    <n v="21485.074199999999"/>
  </r>
  <r>
    <n v="68999"/>
    <n v="1033"/>
    <x v="32"/>
    <x v="6"/>
    <s v="SM-A336ELBPINS"/>
    <n v="84"/>
    <n v="2188715.3064000001"/>
    <n v="26056.134600000001"/>
  </r>
  <r>
    <n v="98766"/>
    <n v="1034"/>
    <x v="33"/>
    <x v="0"/>
    <s v="SM-A336ELBRINS"/>
    <n v="24"/>
    <n v="658253.93760000006"/>
    <n v="27427.2474"/>
  </r>
  <r>
    <n v="90778"/>
    <n v="1035"/>
    <x v="34"/>
    <x v="4"/>
    <s v="SM-A528BLVCINS"/>
    <n v="280"/>
    <n v="8319577.7279999992"/>
    <n v="29712.777599999998"/>
  </r>
  <r>
    <n v="34555"/>
    <n v="1036"/>
    <x v="35"/>
    <x v="1"/>
    <s v="SM-A528BLGOINS"/>
    <n v="218"/>
    <n v="6776496.4715999998"/>
    <n v="31084.8462"/>
  </r>
  <r>
    <n v="33425"/>
    <n v="1037"/>
    <x v="36"/>
    <x v="3"/>
    <s v="SM-A528BLVOINS"/>
    <n v="34"/>
    <n v="1056884.7708000001"/>
    <n v="31084.8462"/>
  </r>
  <r>
    <n v="90879"/>
    <n v="1038"/>
    <x v="37"/>
    <x v="6"/>
    <s v="SM-A536EZODINS"/>
    <n v="10"/>
    <n v="315415.77"/>
    <n v="31541.577000000001"/>
  </r>
  <r>
    <n v="12121"/>
    <n v="1039"/>
    <x v="38"/>
    <x v="0"/>
    <s v="SM-G781BZBGINS"/>
    <n v="183"/>
    <n v="7927127.1683999998"/>
    <n v="43317.6348"/>
  </r>
  <r>
    <n v="23232"/>
    <n v="1040"/>
    <x v="39"/>
    <x v="4"/>
    <s v="SM-G781BZGGINS"/>
    <n v="258"/>
    <n v="11175949.7784"/>
    <n v="43317.6348"/>
  </r>
  <r>
    <n v="45367"/>
    <n v="1041"/>
    <x v="40"/>
    <x v="5"/>
    <s v="SM-G990ELVIINU"/>
    <n v="16"/>
    <n v="888957.62560000003"/>
    <n v="55559.851600000002"/>
  </r>
  <r>
    <n v="65789"/>
    <n v="1042"/>
    <x v="41"/>
    <x v="6"/>
    <s v="SM-G990EZAIINU"/>
    <n v="14"/>
    <n v="777837.92240000004"/>
    <n v="55559.851600000002"/>
  </r>
  <r>
    <n v="98123"/>
    <n v="1043"/>
    <x v="42"/>
    <x v="1"/>
    <s v="SM-G991BZADINU"/>
    <n v="9"/>
    <n v="584792.31779999996"/>
    <n v="64976.924200000001"/>
  </r>
  <r>
    <n v="89099"/>
    <n v="1044"/>
    <x v="43"/>
    <x v="3"/>
    <s v="SM-S901EIDDINU"/>
    <n v="8"/>
    <n v="542416.35840000003"/>
    <n v="67802.044800000003"/>
  </r>
  <r>
    <n v="32456"/>
    <n v="1045"/>
    <x v="44"/>
    <x v="5"/>
    <s v="SM-S901EZKGINU"/>
    <n v="4"/>
    <n v="286275.55199999997"/>
    <n v="71568.887999999992"/>
  </r>
  <r>
    <n v="89705"/>
    <n v="1046"/>
    <x v="45"/>
    <x v="6"/>
    <s v="SM-S901EZWGINU"/>
    <n v="7"/>
    <n v="500982.21599999996"/>
    <n v="71568.887999999992"/>
  </r>
  <r>
    <n v="34526"/>
    <n v="1047"/>
    <x v="46"/>
    <x v="0"/>
    <s v="SM-S908EZGGINU"/>
    <n v="3"/>
    <n v="307935.75"/>
    <n v="102645.25"/>
  </r>
  <r>
    <n v="89760"/>
    <n v="1048"/>
    <x v="47"/>
    <x v="4"/>
    <s v="SM-S908EDRGINU"/>
    <n v="118"/>
    <n v="12112140.892399998"/>
    <n v="102645.26179999999"/>
  </r>
  <r>
    <n v="33455"/>
    <n v="1049"/>
    <x v="48"/>
    <x v="2"/>
    <s v="SM-S908EZKGINU"/>
    <n v="44"/>
    <n v="4516391.5192"/>
    <n v="102645.26179999999"/>
  </r>
  <r>
    <n v="78889"/>
    <n v="1050"/>
    <x v="49"/>
    <x v="5"/>
    <s v="SM-S908EZWGINU"/>
    <n v="14"/>
    <n v="1437033.6651999999"/>
    <n v="102645.26179999999"/>
  </r>
  <r>
    <n v="96662"/>
    <n v="1051"/>
    <x v="50"/>
    <x v="6"/>
    <s v="SM-S908EDRHINU"/>
    <n v="13"/>
    <n v="1444568.2601999999"/>
    <n v="111120.6354"/>
  </r>
  <r>
    <n v="89700"/>
    <n v="1052"/>
    <x v="51"/>
    <x v="0"/>
    <s v="SM-F926BZGDINU"/>
    <n v="8"/>
    <n v="1122508.7008"/>
    <n v="140313.5876"/>
  </r>
  <r>
    <n v="34800"/>
    <n v="1053"/>
    <x v="52"/>
    <x v="3"/>
    <s v="SM-F926BZSDINU"/>
    <n v="3"/>
    <n v="420940.76280000003"/>
    <n v="140313.5876"/>
  </r>
  <r>
    <n v="43678"/>
    <n v="1054"/>
    <x v="53"/>
    <x v="5"/>
    <s v="SM-T225NZAAINS"/>
    <n v="143"/>
    <n v="1952497.2896"/>
    <n v="13653.8272"/>
  </r>
  <r>
    <n v="96678"/>
    <n v="1055"/>
    <x v="54"/>
    <x v="4"/>
    <s v="SM-P613NZIAINU"/>
    <n v="1"/>
    <n v="26367.984999999997"/>
    <n v="26367.984999999997"/>
  </r>
  <r>
    <n v="23444"/>
    <n v="1056"/>
    <x v="55"/>
    <x v="2"/>
    <s v="SM-X706BIDAINU"/>
    <n v="7"/>
    <n v="468022.42059999995"/>
    <n v="66860.345799999996"/>
  </r>
  <r>
    <n v="56478"/>
    <n v="1057"/>
    <x v="56"/>
    <x v="3"/>
    <s v="SM-X706BZAAINU"/>
    <n v="4"/>
    <n v="267441.38319999998"/>
    <n v="66860.345799999996"/>
  </r>
  <r>
    <n v="90909"/>
    <n v="1058"/>
    <x v="57"/>
    <x v="5"/>
    <s v="SM-X806BIDAINU"/>
    <n v="3"/>
    <n v="248608.182"/>
    <n v="82869.394"/>
  </r>
  <r>
    <n v="34590"/>
    <n v="1059"/>
    <x v="58"/>
    <x v="6"/>
    <s v="SM-X806BZSAINU"/>
    <n v="5"/>
    <n v="414346.97"/>
    <n v="82869.394"/>
  </r>
  <r>
    <n v="89089"/>
    <n v="1060"/>
    <x v="59"/>
    <x v="0"/>
    <s v="SM-R860NZDAINU"/>
    <n v="5"/>
    <n v="113000.28099999999"/>
    <n v="22600.056199999999"/>
  </r>
  <r>
    <n v="23140"/>
    <n v="1061"/>
    <x v="60"/>
    <x v="1"/>
    <s v="SM-R860NZKAINU"/>
    <n v="14"/>
    <n v="316400.7868"/>
    <n v="22600.056199999999"/>
  </r>
  <r>
    <n v="67024"/>
    <n v="1062"/>
    <x v="61"/>
    <x v="3"/>
    <s v="SM-R860NZSAINU"/>
    <n v="10"/>
    <n v="226000.56199999998"/>
    <n v="22600.056199999999"/>
  </r>
  <r>
    <n v="78342"/>
    <n v="1063"/>
    <x v="62"/>
    <x v="5"/>
    <s v="SM-R865FZKAINU"/>
    <n v="1"/>
    <n v="27308.598399999999"/>
    <n v="27308.598399999999"/>
  </r>
  <r>
    <n v="65290"/>
    <n v="1064"/>
    <x v="63"/>
    <x v="6"/>
    <s v="SM-R865FZSAINU"/>
    <n v="4"/>
    <n v="109234.3936"/>
    <n v="27308.598399999999"/>
  </r>
  <r>
    <n v="89756"/>
    <n v="1065"/>
    <x v="64"/>
    <x v="2"/>
    <s v="SM-R875FZSAINU"/>
    <n v="1"/>
    <n v="30133.718999999997"/>
    <n v="30133.718999999997"/>
  </r>
  <r>
    <n v="45643"/>
    <n v="1066"/>
    <x v="65"/>
    <x v="3"/>
    <s v="SM-R890NZSAINU"/>
    <n v="1"/>
    <n v="32958.8514"/>
    <n v="32958.8514"/>
  </r>
  <r>
    <n v="45673"/>
    <n v="1067"/>
    <x v="66"/>
    <x v="0"/>
    <s v="SM-R895FZSAINU"/>
    <n v="3"/>
    <n v="113002.18079999999"/>
    <n v="37667.3935999999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78453"/>
    <n v="1001"/>
    <d v="2025-01-01T00:00:00"/>
    <n v="4"/>
    <s v="SM-B315EZDDINS"/>
    <n v="48"/>
    <n v="81972.806400000001"/>
    <n v="1707.7667999999999"/>
    <s v=" Piton B315E Gold "/>
    <s v="SM-B315EZDDINS"/>
    <s v=" Piton B315E Gold "/>
    <n v="1707.7667999999999"/>
    <x v="0"/>
    <s v="SM-B315EZDDINS"/>
    <s v=" Piton B315E Gold "/>
    <n v="1707.7667999999999"/>
    <s v="Midrange"/>
    <s v="S1"/>
    <x v="0"/>
  </r>
  <r>
    <n v="24587"/>
    <n v="1002"/>
    <d v="2025-03-01T00:00:00"/>
    <n v="7"/>
    <s v="SM-B315EZWDINS"/>
    <n v="128"/>
    <n v="218594.15039999998"/>
    <n v="1707.7667999999999"/>
    <s v="Piton B315E White"/>
    <s v="SM-B315EZWDINS"/>
    <s v="Piton B315E White"/>
    <n v="1707.7667999999999"/>
    <x v="0"/>
    <s v="SM-B315EZWDINS"/>
    <s v="Piton B315E White"/>
    <n v="1707.7667999999999"/>
    <s v="Midrange"/>
    <s v="S2"/>
    <x v="1"/>
  </r>
  <r>
    <n v="34598"/>
    <n v="1003"/>
    <d v="2025-05-01T00:00:00"/>
    <n v="5"/>
    <s v="SM-B313EZADINS"/>
    <n v="60"/>
    <n v="125476.00799999999"/>
    <n v="2091.2667999999999"/>
    <s v="Metro SM-B313E Gray"/>
    <s v="SM-B313EZADINS"/>
    <s v="Metro SM-B313E Gray"/>
    <n v="2091.2667999999999"/>
    <x v="0"/>
    <s v="SM-B313EZADINS"/>
    <s v="Metro SM-B313E Gray"/>
    <n v="2091.2667999999999"/>
    <s v="Midrange"/>
    <s v="S3"/>
    <x v="2"/>
  </r>
  <r>
    <n v="56732"/>
    <n v="1004"/>
    <d v="2025-07-01T00:00:00"/>
    <n v="3"/>
    <s v="SM-B313EZDDINS"/>
    <n v="136"/>
    <n v="284412.28479999996"/>
    <n v="2091.2667999999999"/>
    <s v="Metro SM-B313E Gold"/>
    <s v="SM-B313EZDDINS"/>
    <s v="Metro SM-B313E Gold"/>
    <n v="2091.2667999999999"/>
    <x v="0"/>
    <s v="SM-B313EZDDINS"/>
    <s v="Metro SM-B313E Gold"/>
    <n v="2091.2667999999999"/>
    <s v="Midrange"/>
    <s v="S4"/>
    <x v="3"/>
  </r>
  <r>
    <n v="98712"/>
    <n v="1005"/>
    <d v="2025-09-01T00:00:00"/>
    <n v="2"/>
    <s v="GT-E1215ZWAINS"/>
    <n v="40"/>
    <n v="49903.143999999993"/>
    <n v="1247.5785999999998"/>
    <s v="Eider E1215 White"/>
    <s v="GT-E1215ZWAINS"/>
    <s v="Eider E1215 White"/>
    <n v="1247.5785999999998"/>
    <x v="0"/>
    <s v="GT-E1215ZWAINS"/>
    <s v="Eider E1215 White"/>
    <n v="1247.5785999999998"/>
    <s v="Midrange"/>
    <s v="S1S"/>
    <x v="4"/>
  </r>
  <r>
    <n v="43517"/>
    <n v="1006"/>
    <d v="2025-11-01T00:00:00"/>
    <n v="7"/>
    <s v="SM-B313EZKDINS"/>
    <n v="119"/>
    <n v="248860.74919999999"/>
    <n v="2091.2667999999999"/>
    <s v="SM-B313E,BLACK"/>
    <s v="SM-B313EZKDINS"/>
    <s v="SM-B313E,BLACK"/>
    <n v="2091.2667999999999"/>
    <x v="0"/>
    <s v="SM-B313EZKDINS"/>
    <s v="SM-B313E,BLACK"/>
    <n v="2091.2667999999999"/>
    <s v="Midrange"/>
    <s v="S1N"/>
    <x v="5"/>
  </r>
  <r>
    <n v="98065"/>
    <n v="1007"/>
    <d v="2025-02-02T00:00:00"/>
    <n v="1"/>
    <s v="SM-E225FLBHINS"/>
    <n v="74"/>
    <n v="1055463.9091999999"/>
    <n v="14263.025799999999"/>
    <s v="Galaxy F22 E225FH 6/128GB Light Blue"/>
    <s v="SM-E225FLBHINS"/>
    <s v="Galaxy F22 E225FH 6/128GB Light Blue"/>
    <n v="14263.025799999999"/>
    <x v="1"/>
    <s v="SM-E225FLBHINS"/>
    <s v="Galaxy F22 E225FH 6/128GB Light Blue"/>
    <n v="14263.025799999999"/>
    <s v="Premium"/>
    <s v="S1"/>
    <x v="0"/>
  </r>
  <r>
    <n v="23508"/>
    <n v="1008"/>
    <d v="2025-04-02T00:00:00"/>
    <n v="4"/>
    <s v="SM-M325FLBCINS"/>
    <n v="61"/>
    <n v="986058.33879999991"/>
    <n v="16164.890799999999"/>
    <s v="Galaxy M32 M325FC 6/128GB Light Blue"/>
    <s v="SM-M325FLBCINS"/>
    <s v="Galaxy M32 M325FC 6/128GB Light Blue"/>
    <n v="16164.890799999999"/>
    <x v="1"/>
    <s v="SM-M325FLBCINS"/>
    <s v="Galaxy M32 M325FC 6/128GB Light Blue"/>
    <n v="16164.890799999999"/>
    <s v="Premium"/>
    <s v="S2"/>
    <x v="1"/>
  </r>
  <r>
    <n v="90123"/>
    <n v="1009"/>
    <d v="2025-06-02T00:00:00"/>
    <n v="2"/>
    <s v="SM-M325FZKCINS"/>
    <n v="100"/>
    <n v="1616489.0799999998"/>
    <n v="16164.890799999999"/>
    <s v="Galaxy M32 M325FC 6/12GB Black"/>
    <s v="SM-M325FZKCINS"/>
    <s v="Galaxy M32 M325FC 6/12GB Black"/>
    <n v="16164.890799999999"/>
    <x v="1"/>
    <s v="SM-M325FZKCINS"/>
    <s v="Galaxy M32 M325FC 6/12GB Black"/>
    <n v="16164.890799999999"/>
    <s v="Premium"/>
    <s v="S3"/>
    <x v="2"/>
  </r>
  <r>
    <n v="76509"/>
    <n v="1010"/>
    <d v="2025-08-02T00:00:00"/>
    <n v="7"/>
    <s v="SM-M326BZBIINS"/>
    <n v="234"/>
    <n v="3782777.7311999998"/>
    <n v="16165.7168"/>
    <s v="Galaxy M32 5G 6/128GB Blue"/>
    <s v="SM-M326BZBIINS"/>
    <s v="Galaxy M32 5G 6/128GB Blue"/>
    <n v="16165.7168"/>
    <x v="1"/>
    <s v="SM-M326BZBIINS"/>
    <s v="Galaxy M32 5G 6/128GB Blue"/>
    <n v="16165.7168"/>
    <s v="Premium"/>
    <s v="S4"/>
    <x v="3"/>
  </r>
  <r>
    <n v="45620"/>
    <n v="1011"/>
    <d v="2025-10-02T00:00:00"/>
    <n v="5"/>
    <s v="SM-M526BLBHINU"/>
    <n v="1"/>
    <n v="28527.007399999999"/>
    <n v="28527.007399999999"/>
    <s v="Galaxy M52 5G (6/128) Light Blue"/>
    <s v="SM-M526BLBHINU"/>
    <s v="Galaxy M52 5G (6/128) Light Blue"/>
    <n v="28527.007399999999"/>
    <x v="1"/>
    <s v="SM-M526BLBHINU"/>
    <s v="Galaxy M52 5G (6/128) Light Blue"/>
    <n v="28527.007399999999"/>
    <s v="Premium"/>
    <s v="S1S"/>
    <x v="4"/>
  </r>
  <r>
    <n v="13250"/>
    <n v="1012"/>
    <d v="2025-12-02T00:00:00"/>
    <n v="3"/>
    <s v="SM-A032FCKDINS"/>
    <n v="380"/>
    <n v="2779174.2319999998"/>
    <n v="7313.616399999999"/>
    <s v="Galaxy A03 Core 2/32GB Black"/>
    <s v="SM-A032FCKDINS"/>
    <s v="Galaxy A03 Core 2/32GB Black"/>
    <n v="7313.616399999999"/>
    <x v="0"/>
    <s v="SM-A032FCKDINS"/>
    <s v="Galaxy A03 Core 2/32GB Black"/>
    <n v="7313.616399999999"/>
    <s v="Midrange"/>
    <s v="S1N"/>
    <x v="5"/>
  </r>
  <r>
    <n v="90812"/>
    <n v="1013"/>
    <d v="2025-01-03T00:00:00"/>
    <n v="6"/>
    <s v="SM-A035FZK5INS"/>
    <n v="480"/>
    <n v="5046561.6959999995"/>
    <n v="10513.670199999999"/>
    <s v="Galaxy A03 4/64GB Black"/>
    <s v="SM-A035FZK5INS"/>
    <s v="Galaxy A03 4/64GB Black"/>
    <n v="10513.670199999999"/>
    <x v="1"/>
    <s v="SM-A035FZK5INS"/>
    <s v="Galaxy A03 4/64GB Black"/>
    <n v="10513.670199999999"/>
    <s v="Premium"/>
    <s v="S1"/>
    <x v="0"/>
  </r>
  <r>
    <n v="67801"/>
    <n v="1014"/>
    <d v="2025-03-03T00:00:00"/>
    <n v="2"/>
    <s v="SM-A035FZK6INS"/>
    <n v="214"/>
    <n v="1956492.1324"/>
    <n v="9142.4866000000002"/>
    <s v="Galaxy A03 3/32GB Black"/>
    <s v="SM-A035FZK6INS"/>
    <s v="Galaxy A03 3/32GB Black"/>
    <n v="9142.4866000000002"/>
    <x v="0"/>
    <s v="SM-A035FZK6INS"/>
    <s v="Galaxy A03 3/32GB Black"/>
    <n v="9142.4866000000002"/>
    <s v="Midrange"/>
    <s v="S2"/>
    <x v="1"/>
  </r>
  <r>
    <n v="32467"/>
    <n v="1015"/>
    <d v="2025-05-03T00:00:00"/>
    <n v="7"/>
    <s v="SM-A035FZR6INS"/>
    <n v="49"/>
    <n v="447981.84340000001"/>
    <n v="9142.4866000000002"/>
    <s v="Galaxy A03 3/32GB Red"/>
    <s v="SM-A035FZR6INS"/>
    <s v="Galaxy A03 3/32GB Red"/>
    <n v="9142.4866000000002"/>
    <x v="0"/>
    <s v="SM-A035FZR6INS"/>
    <s v="Galaxy A03 3/32GB Red"/>
    <n v="9142.4866000000002"/>
    <s v="Midrange"/>
    <s v="S3"/>
    <x v="2"/>
  </r>
  <r>
    <n v="12345"/>
    <n v="1016"/>
    <d v="2025-07-03T00:00:00"/>
    <n v="5"/>
    <s v="SM-A135FLBGINS"/>
    <n v="1547"/>
    <n v="21214254.8072"/>
    <n v="13713.157599999999"/>
    <s v="Galaxy A13 4/64GB A135FG Light Blue"/>
    <s v="SM-A135FLBGINS"/>
    <s v="Galaxy A13 4/64GB A135FG Light Blue"/>
    <n v="13713.157599999999"/>
    <x v="1"/>
    <s v="SM-A135FLBGINS"/>
    <s v="Galaxy A13 4/64GB A135FG Light Blue"/>
    <n v="13713.157599999999"/>
    <s v="Premium"/>
    <s v="S4"/>
    <x v="3"/>
  </r>
  <r>
    <n v="90876"/>
    <n v="1017"/>
    <d v="2025-09-03T00:00:00"/>
    <n v="4"/>
    <s v="SM-A135FZKGINS"/>
    <n v="1190"/>
    <n v="16318657.543999998"/>
    <n v="13713.157599999999"/>
    <s v="Galaxy A13 4/64GB A135FG Black"/>
    <s v="SM-A135FZKGINS"/>
    <s v="Galaxy A13 4/64GB A135FG Black"/>
    <n v="13713.157599999999"/>
    <x v="1"/>
    <s v="SM-A135FZKGINS"/>
    <s v="Galaxy A13 4/64GB A135FG Black"/>
    <n v="13713.157599999999"/>
    <s v="Premium"/>
    <s v="S1S"/>
    <x v="4"/>
  </r>
  <r>
    <n v="98765"/>
    <n v="1018"/>
    <d v="2025-11-03T00:00:00"/>
    <n v="2"/>
    <s v="SM-A135FZOGINS"/>
    <n v="602"/>
    <n v="8255320.8751999987"/>
    <n v="13713.157599999999"/>
    <s v="Galaxy A13 4/64GB A135FG Orange"/>
    <s v="SM-A135FZOGINS"/>
    <s v="Galaxy A13 4/64GB A135FG Orange"/>
    <n v="13713.157599999999"/>
    <x v="1"/>
    <s v="SM-A135FZOGINS"/>
    <s v="Galaxy A13 4/64GB A135FG Orange"/>
    <n v="13713.157599999999"/>
    <s v="Premium"/>
    <s v="S1N"/>
    <x v="5"/>
  </r>
  <r>
    <n v="34567"/>
    <n v="1019"/>
    <d v="2025-02-04T00:00:00"/>
    <n v="3"/>
    <s v="SM-A135FLBHINS"/>
    <n v="635"/>
    <n v="9288495.1389999986"/>
    <n v="14627.551399999998"/>
    <s v="Galaxy A13 4/128GB A135FH Light Blue"/>
    <s v="SM-A135FLBHINS"/>
    <s v="Galaxy A13 4/128GB A135FH Light Blue"/>
    <n v="14627.551399999998"/>
    <x v="1"/>
    <s v="SM-A135FLBHINS"/>
    <s v="Galaxy A13 4/128GB A135FH Light Blue"/>
    <n v="14627.551399999998"/>
    <s v="Premium"/>
    <s v="S1"/>
    <x v="0"/>
  </r>
  <r>
    <n v="75209"/>
    <n v="1020"/>
    <d v="2025-04-04T00:00:00"/>
    <n v="6"/>
    <s v="SM-A135FZKHINS"/>
    <n v="319"/>
    <n v="4666188.8965999996"/>
    <n v="14627.551399999998"/>
    <s v="Galaxy A13 4/128GB A135FH Black"/>
    <s v="SM-A135FZKHINS"/>
    <s v="Galaxy A13 4/128GB A135FH Black"/>
    <n v="14627.551399999998"/>
    <x v="1"/>
    <s v="SM-A135FZKHINS"/>
    <s v="Galaxy A13 4/128GB A135FH Black"/>
    <n v="14627.551399999998"/>
    <s v="Premium"/>
    <s v="S2"/>
    <x v="1"/>
  </r>
  <r>
    <n v="24680"/>
    <n v="1021"/>
    <d v="2025-06-04T00:00:00"/>
    <n v="4"/>
    <s v="SM-A135FLBJINS"/>
    <n v="138"/>
    <n v="2207817.2879999997"/>
    <n v="15998.675999999999"/>
    <s v="Galaxy A13 6/128GB A135FJ Light Blue"/>
    <s v="SM-A135FLBJINS"/>
    <s v="Galaxy A13 6/128GB A135FJ Light Blue"/>
    <n v="15998.675999999999"/>
    <x v="1"/>
    <s v="SM-A135FLBJINS"/>
    <s v="Galaxy A13 6/128GB A135FJ Light Blue"/>
    <n v="15998.675999999999"/>
    <s v="Premium"/>
    <s v="S3"/>
    <x v="2"/>
  </r>
  <r>
    <n v="13579"/>
    <n v="1022"/>
    <d v="2025-08-04T00:00:00"/>
    <n v="2"/>
    <s v="SM-A135FZKJINS"/>
    <n v="1"/>
    <n v="15998.675999999999"/>
    <n v="15998.675999999999"/>
    <s v="Galaxy A13 6/128GB A135FJ Black"/>
    <s v="SM-A135FZKJINS"/>
    <s v="Galaxy A13 6/128GB A135FJ Black"/>
    <n v="15998.675999999999"/>
    <x v="1"/>
    <s v="SM-A135FZKJINS"/>
    <s v="Galaxy A13 6/128GB A135FJ Black"/>
    <n v="15998.675999999999"/>
    <s v="Premium"/>
    <s v="S4"/>
    <x v="3"/>
  </r>
  <r>
    <n v="10203"/>
    <n v="1023"/>
    <d v="2025-10-04T00:00:00"/>
    <n v="7"/>
    <s v="SM-A235FLBHINS"/>
    <n v="353"/>
    <n v="6293098.8162000002"/>
    <n v="17827.475399999999"/>
    <s v="Galaxy A23 A235FH 6/128GB Light BLue"/>
    <s v="SM-A235FLBHINS"/>
    <s v="Galaxy A23 A235FH 6/128GB Light BLue"/>
    <n v="17827.475399999999"/>
    <x v="1"/>
    <s v="SM-A235FLBHINS"/>
    <s v="Galaxy A23 A235FH 6/128GB Light BLue"/>
    <n v="17827.475399999999"/>
    <s v="Premium"/>
    <s v="S1S"/>
    <x v="4"/>
  </r>
  <r>
    <n v="20406"/>
    <n v="1024"/>
    <d v="2025-12-04T00:00:00"/>
    <n v="5"/>
    <s v="SM-A235FZKHINS"/>
    <n v="89"/>
    <n v="1586645.3106"/>
    <n v="17827.475399999999"/>
    <s v="Galaxy A23 A235FH 6/128GB Black"/>
    <s v="SM-A235FZKHINS"/>
    <s v="Galaxy A23 A235FH 6/128GB Black"/>
    <n v="17827.475399999999"/>
    <x v="1"/>
    <s v="SM-A235FZKHINS"/>
    <s v="Galaxy A23 A235FH 6/128GB Black"/>
    <n v="17827.475399999999"/>
    <s v="Premium"/>
    <s v="S1N"/>
    <x v="5"/>
  </r>
  <r>
    <n v="87904"/>
    <n v="1025"/>
    <d v="2025-01-05T00:00:00"/>
    <n v="1"/>
    <s v="SM-A235FZOHINS"/>
    <n v="141"/>
    <n v="2513674.0313999997"/>
    <n v="17827.475399999999"/>
    <s v="Galaxy A23 A235FH 6/128GB Orange"/>
    <s v="SM-A235FZOHINS"/>
    <s v="Galaxy A23 A235FH 6/128GB Orange"/>
    <n v="17827.475399999999"/>
    <x v="1"/>
    <s v="SM-A235FZOHINS"/>
    <s v="Galaxy A23 A235FH 6/128GB Orange"/>
    <n v="17827.475399999999"/>
    <s v="Premium"/>
    <s v="S1"/>
    <x v="0"/>
  </r>
  <r>
    <n v="67823"/>
    <n v="1026"/>
    <d v="2025-03-05T00:00:00"/>
    <n v="4"/>
    <s v="SM-A235FLBTINS"/>
    <n v="100"/>
    <n v="1919861.18"/>
    <n v="19198.611799999999"/>
    <s v="Galaxy A23 A235FT 8/128GB Blue"/>
    <s v="SM-A235FLBTINS"/>
    <s v="Galaxy A23 A235FT 8/128GB Blue"/>
    <n v="19198.611799999999"/>
    <x v="1"/>
    <s v="SM-A235FLBTINS"/>
    <s v="Galaxy A23 A235FT 8/128GB Blue"/>
    <n v="19198.611799999999"/>
    <s v="Premium"/>
    <s v="S2"/>
    <x v="1"/>
  </r>
  <r>
    <n v="30335"/>
    <n v="1027"/>
    <d v="2025-05-05T00:00:00"/>
    <n v="2"/>
    <s v="SM-A226BLG6INS"/>
    <n v="457"/>
    <n v="9191643.5591999982"/>
    <n v="20113.005599999997"/>
    <s v="Galaxy A22 A226BJ 5G (8/128GB) Light Green"/>
    <s v="SM-A226BLG6INS"/>
    <s v="Galaxy A22 A226BJ 5G (8/128GB) Light Green"/>
    <n v="20113.005599999997"/>
    <x v="1"/>
    <s v="SM-A226BLG6INS"/>
    <s v="Galaxy A22 A226BJ 5G (8/128GB) Light Green"/>
    <n v="20113.005599999997"/>
    <s v="Premium"/>
    <s v="S3"/>
    <x v="2"/>
  </r>
  <r>
    <n v="88657"/>
    <n v="1028"/>
    <d v="2025-07-05T00:00:00"/>
    <n v="7"/>
    <s v="SM-A226BZA6INS"/>
    <n v="164"/>
    <n v="3298532.9183999994"/>
    <n v="20113.005599999997"/>
    <s v="Galaxy A22 A226BJ 5G (8/128GB) Gray"/>
    <s v="SM-A226BZA6INS"/>
    <s v="Galaxy A22 A226BJ 5G (8/128GB) Gray"/>
    <n v="20113.005599999997"/>
    <x v="1"/>
    <s v="SM-A226BZA6INS"/>
    <s v="Galaxy A22 A226BJ 5G (8/128GB) Gray"/>
    <n v="20113.005599999997"/>
    <s v="Premium"/>
    <s v="S4"/>
    <x v="3"/>
  </r>
  <r>
    <n v="33456"/>
    <n v="1029"/>
    <d v="2025-09-05T00:00:00"/>
    <n v="6"/>
    <s v="SM-A226BZAJINS"/>
    <n v="110"/>
    <n v="2212430.6159999995"/>
    <n v="20113.005599999997"/>
    <s v="Galaxy A22 A226BJ 5G (8/128GB) Grey"/>
    <s v="SM-A226BZAJINS"/>
    <s v="Galaxy A22 A226BJ 5G (8/128GB) Grey"/>
    <n v="20113.005599999997"/>
    <x v="1"/>
    <s v="SM-A226BZAJINS"/>
    <s v="Galaxy A22 A226BJ 5G (8/128GB) Grey"/>
    <n v="20113.005599999997"/>
    <s v="Premium"/>
    <s v="S1S"/>
    <x v="4"/>
  </r>
  <r>
    <n v="25330"/>
    <n v="1030"/>
    <d v="2025-11-05T00:00:00"/>
    <n v="4"/>
    <s v="SM-A325FZBHINS"/>
    <n v="18"/>
    <n v="362034.10079999996"/>
    <n v="20113.005599999997"/>
    <s v="Galaxy A32 - 6GB/128GB Blue"/>
    <s v="SM-A325FZBHINS"/>
    <s v="Galaxy A32 - 6GB/128GB Blue"/>
    <n v="20113.005599999997"/>
    <x v="1"/>
    <s v="SM-A325FZBHINS"/>
    <s v="Galaxy A32 - 6GB/128GB Blue"/>
    <n v="20113.005599999997"/>
    <s v="Premium"/>
    <s v="S1N"/>
    <x v="5"/>
  </r>
  <r>
    <n v="45666"/>
    <n v="1031"/>
    <d v="2025-02-06T00:00:00"/>
    <n v="5"/>
    <s v="SM-A325FZKHINS"/>
    <n v="4"/>
    <n v="80452.022399999987"/>
    <n v="20113.005599999997"/>
    <s v="Galaxy A32 - 6GB/128GB Black"/>
    <s v="SM-A325FZKHINS"/>
    <s v="Galaxy A32 - 6GB/128GB Black"/>
    <n v="20113.005599999997"/>
    <x v="1"/>
    <s v="SM-A325FZKHINS"/>
    <s v="Galaxy A32 - 6GB/128GB Black"/>
    <n v="20113.005599999997"/>
    <s v="Premium"/>
    <s v="S1"/>
    <x v="0"/>
  </r>
  <r>
    <n v="23443"/>
    <n v="1032"/>
    <d v="2025-04-06T00:00:00"/>
    <n v="1"/>
    <s v="SM-A325FZBIINS"/>
    <n v="69"/>
    <n v="1482470.1198"/>
    <n v="21485.074199999999"/>
    <s v="Galaxy A32 8/128GB Blue"/>
    <s v="SM-A325FZBIINS"/>
    <s v="Galaxy A32 8/128GB Blue"/>
    <n v="21485.074199999999"/>
    <x v="1"/>
    <s v="SM-A325FZBIINS"/>
    <s v="Galaxy A32 8/128GB Blue"/>
    <n v="21485.074199999999"/>
    <s v="Premium"/>
    <s v="S2"/>
    <x v="1"/>
  </r>
  <r>
    <n v="68999"/>
    <n v="1033"/>
    <d v="2025-06-06T00:00:00"/>
    <n v="6"/>
    <s v="SM-A336ELBPINS"/>
    <n v="84"/>
    <n v="2188715.3064000001"/>
    <n v="26056.134600000001"/>
    <s v="Galaxy A33 5G 6/128GB Light Blue"/>
    <s v="SM-A336ELBPINS"/>
    <s v="Galaxy A33 5G 6/128GB Light Blue"/>
    <n v="26056.134600000001"/>
    <x v="1"/>
    <s v="SM-A336ELBPINS"/>
    <s v="Galaxy A33 5G 6/128GB Light Blue"/>
    <n v="26056.134600000001"/>
    <s v="Premium"/>
    <s v="S3"/>
    <x v="2"/>
  </r>
  <r>
    <n v="98766"/>
    <n v="1034"/>
    <d v="2025-08-06T00:00:00"/>
    <n v="4"/>
    <s v="SM-A336ELBRINS"/>
    <n v="24"/>
    <n v="658253.93760000006"/>
    <n v="27427.2474"/>
    <s v="Galaxy A33 5G 8/128GB Light Blue"/>
    <s v="SM-A336ELBRINS"/>
    <s v="Galaxy A33 5G 8/128GB Light Blue"/>
    <n v="27427.2474"/>
    <x v="1"/>
    <s v="SM-A336ELBRINS"/>
    <s v="Galaxy A33 5G 8/128GB Light Blue"/>
    <n v="27427.2474"/>
    <s v="Premium"/>
    <s v="S4"/>
    <x v="3"/>
  </r>
  <r>
    <n v="90778"/>
    <n v="1035"/>
    <d v="2025-10-06T00:00:00"/>
    <n v="2"/>
    <s v="SM-A528BLVCINS"/>
    <n v="280"/>
    <n v="8319577.7279999992"/>
    <n v="29712.777599999998"/>
    <s v="Galaxy A52S 5G 6/128GB"/>
    <s v="SM-A528BLVCINS"/>
    <s v="Galaxy A52S 5G 6/128GB"/>
    <n v="29712.777599999998"/>
    <x v="1"/>
    <s v="SM-A528BLVCINS"/>
    <s v="Galaxy A52S 5G 6/128GB"/>
    <n v="29712.777599999998"/>
    <s v="Premium"/>
    <s v="S1S"/>
    <x v="4"/>
  </r>
  <r>
    <n v="34555"/>
    <n v="1036"/>
    <d v="2025-12-06T00:00:00"/>
    <n v="7"/>
    <s v="SM-A528BLGOINS"/>
    <n v="218"/>
    <n v="6776496.4715999998"/>
    <n v="31084.8462"/>
    <s v="Galaxy A52S 5G 8/128GB Light"/>
    <s v="SM-A528BLGOINS"/>
    <s v="Galaxy A52S 5G 8/128GB Light"/>
    <n v="31084.8462"/>
    <x v="1"/>
    <s v="SM-A528BLGOINS"/>
    <s v="Galaxy A52S 5G 8/128GB Light"/>
    <n v="31084.8462"/>
    <s v="Premium"/>
    <s v="S1N"/>
    <x v="5"/>
  </r>
  <r>
    <n v="33425"/>
    <n v="1037"/>
    <d v="2025-01-07T00:00:00"/>
    <n v="3"/>
    <s v="SM-A528BLVOINS"/>
    <n v="34"/>
    <n v="1056884.7708000001"/>
    <n v="31084.8462"/>
    <s v="Galaxy A52S 5G 8/128GB Light Violet"/>
    <s v="SM-A528BLVOINS"/>
    <s v="Galaxy A52S 5G 8/128GB Light Violet"/>
    <n v="31084.8462"/>
    <x v="1"/>
    <s v="SM-A528BLVOINS"/>
    <s v="Galaxy A52S 5G 8/128GB Light Violet"/>
    <n v="31084.8462"/>
    <s v="Premium"/>
    <s v="S1"/>
    <x v="0"/>
  </r>
  <r>
    <n v="90879"/>
    <n v="1038"/>
    <d v="2025-03-07T00:00:00"/>
    <n v="6"/>
    <s v="SM-A536EZODINS"/>
    <n v="10"/>
    <n v="315415.77"/>
    <n v="31541.577000000001"/>
    <s v="Galaxy A53 5G 6/128GB A536ED Orange"/>
    <s v="SM-A536EZODINS"/>
    <s v="Galaxy A53 5G 6/128GB A536ED Orange"/>
    <n v="31541.577000000001"/>
    <x v="1"/>
    <s v="SM-A536EZODINS"/>
    <s v="Galaxy A53 5G 6/128GB A536ED Orange"/>
    <n v="31541.577000000001"/>
    <s v="Premium"/>
    <s v="S2"/>
    <x v="1"/>
  </r>
  <r>
    <n v="12121"/>
    <n v="1039"/>
    <d v="2025-05-07T00:00:00"/>
    <n v="4"/>
    <s v="SM-G781BZBGINS"/>
    <n v="183"/>
    <n v="7927127.1683999998"/>
    <n v="43317.6348"/>
    <s v="Galaxy S20FE 5G 8/128 G781BG Cloud Navy"/>
    <s v="SM-G781BZBGINS"/>
    <s v="Galaxy S20FE 5G 8/128 G781BG Cloud Navy"/>
    <n v="43317.6348"/>
    <x v="1"/>
    <s v="SM-G781BZBGINS"/>
    <s v="Galaxy S20FE 5G 8/128 G781BG Cloud Navy"/>
    <n v="43317.6348"/>
    <s v="Premium"/>
    <s v="S3"/>
    <x v="2"/>
  </r>
  <r>
    <n v="23232"/>
    <n v="1040"/>
    <d v="2025-07-07T00:00:00"/>
    <n v="2"/>
    <s v="SM-G781BZGGINS"/>
    <n v="258"/>
    <n v="11175949.7784"/>
    <n v="43317.6348"/>
    <s v="Galaxy S20FE 5G 8/128 G781BG Cloud Mint"/>
    <s v="SM-G781BZGGINS"/>
    <s v="Galaxy S20FE 5G 8/128 G781BG Cloud Mint"/>
    <n v="43317.6348"/>
    <x v="1"/>
    <s v="SM-G781BZGGINS"/>
    <s v="Galaxy S20FE 5G 8/128 G781BG Cloud Mint"/>
    <n v="43317.6348"/>
    <s v="Premium"/>
    <s v="S4"/>
    <x v="3"/>
  </r>
  <r>
    <n v="45367"/>
    <n v="1041"/>
    <d v="2025-09-07T00:00:00"/>
    <n v="1"/>
    <s v="SM-G990ELVIINU"/>
    <n v="16"/>
    <n v="888957.62560000003"/>
    <n v="55559.851600000002"/>
    <s v="Galaxy S21FE 5G 8/128GB G990EI Light Violet"/>
    <s v="SM-G990ELVIINU"/>
    <s v="Galaxy S21FE 5G 8/128GB G990EI Light Violet"/>
    <n v="55559.851600000002"/>
    <x v="1"/>
    <s v="SM-G990ELVIINU"/>
    <s v="Galaxy S21FE 5G 8/128GB G990EI Light Violet"/>
    <n v="55559.851600000002"/>
    <s v="Premium"/>
    <s v="S1S"/>
    <x v="4"/>
  </r>
  <r>
    <n v="65789"/>
    <n v="1042"/>
    <d v="2025-11-07T00:00:00"/>
    <n v="6"/>
    <s v="SM-G990EZAIINU"/>
    <n v="14"/>
    <n v="777837.92240000004"/>
    <n v="55559.851600000002"/>
    <s v="Galaxy S21FE 5G 8/128GB G990EI Gray"/>
    <s v="SM-G990EZAIINU"/>
    <s v="Galaxy S21FE 5G 8/128GB G990EI Gray"/>
    <n v="55559.851600000002"/>
    <x v="1"/>
    <s v="SM-G990EZAIINU"/>
    <s v="Galaxy S21FE 5G 8/128GB G990EI Gray"/>
    <n v="55559.851600000002"/>
    <s v="Premium"/>
    <s v="S1N"/>
    <x v="5"/>
  </r>
  <r>
    <n v="98123"/>
    <n v="1043"/>
    <d v="2025-02-08T00:00:00"/>
    <n v="7"/>
    <s v="SM-G991BZADINU"/>
    <n v="9"/>
    <n v="584792.31779999996"/>
    <n v="64976.924200000001"/>
    <s v="Galaxy S21 (128GB) G991BD Phantom Gray"/>
    <s v="SM-G991BZADINU"/>
    <s v="Galaxy S21 (128GB) G991BD Phantom Gray"/>
    <n v="64976.924200000001"/>
    <x v="1"/>
    <s v="SM-G991BZADINU"/>
    <s v="Galaxy S21 (128GB) G991BD Phantom Gray"/>
    <n v="64976.924200000001"/>
    <s v="Premium"/>
    <s v="S3"/>
    <x v="2"/>
  </r>
  <r>
    <n v="89099"/>
    <n v="1044"/>
    <d v="2025-04-08T00:00:00"/>
    <n v="3"/>
    <s v="SM-S901EIDDINU"/>
    <n v="8"/>
    <n v="542416.35840000003"/>
    <n v="67802.044800000003"/>
    <s v="Galaxy S22 8/128GB S901ED Pink"/>
    <s v="SM-S901EIDDINU"/>
    <s v="Galaxy S22 8/128GB S901ED Pink"/>
    <n v="67802.044800000003"/>
    <x v="1"/>
    <s v="SM-S901EIDDINU"/>
    <s v="Galaxy S22 8/128GB S901ED Pink"/>
    <n v="67802.044800000003"/>
    <s v="Premium"/>
    <s v="S4"/>
    <x v="3"/>
  </r>
  <r>
    <n v="32456"/>
    <n v="1045"/>
    <d v="2025-06-08T00:00:00"/>
    <n v="1"/>
    <s v="SM-S901EZKGINU"/>
    <n v="4"/>
    <n v="286275.55199999997"/>
    <n v="71568.887999999992"/>
    <s v="Galaxy S22 8/256GB S901EG Phantom Black"/>
    <s v="SM-S901EZKGINU"/>
    <s v="Galaxy S22 8/256GB S901EG Phantom Black"/>
    <n v="71568.887999999992"/>
    <x v="1"/>
    <s v="SM-S901EZKGINU"/>
    <s v="Galaxy S22 8/256GB S901EG Phantom Black"/>
    <n v="71568.887999999992"/>
    <s v="Premium"/>
    <s v="S1S"/>
    <x v="4"/>
  </r>
  <r>
    <n v="89705"/>
    <n v="1046"/>
    <d v="2025-08-08T00:00:00"/>
    <n v="6"/>
    <s v="SM-S901EZWGINU"/>
    <n v="7"/>
    <n v="500982.21599999996"/>
    <n v="71568.887999999992"/>
    <s v="Galaxy S22 8/256GB S901EG White"/>
    <s v="SM-S901EZWGINU"/>
    <s v="Galaxy S22 8/256GB S901EG White"/>
    <n v="71568.887999999992"/>
    <x v="1"/>
    <s v="SM-S901EZWGINU"/>
    <s v="Galaxy S22 8/256GB S901EG White"/>
    <n v="71568.887999999992"/>
    <s v="Premium"/>
    <s v="S1N"/>
    <x v="5"/>
  </r>
  <r>
    <n v="34526"/>
    <n v="1047"/>
    <d v="2025-10-08T00:00:00"/>
    <n v="4"/>
    <s v="SM-S908EZGGINU"/>
    <n v="3"/>
    <n v="307935.75"/>
    <n v="102645.25"/>
    <s v="Galaxy S22 Ultra 12/256GB S908EG"/>
    <s v="SM-S908EZGGINU"/>
    <s v="Galaxy S22 Ultra 12/256GB S908EG"/>
    <n v="102645.25"/>
    <x v="1"/>
    <s v="SM-S908EZGGINU"/>
    <s v="Galaxy S22 Ultra 12/256GB S908EG"/>
    <n v="102645.25"/>
    <s v="Premium"/>
    <s v="S1"/>
    <x v="0"/>
  </r>
  <r>
    <n v="89760"/>
    <n v="1048"/>
    <d v="2025-12-08T00:00:00"/>
    <n v="2"/>
    <s v="SM-S908EDRGINU"/>
    <n v="118"/>
    <n v="12112140.892399998"/>
    <n v="102645.26179999999"/>
    <s v="Galaxy S22 Ultra 12/256GB S908EG Burgundy Red"/>
    <s v="SM-S908EDRGINU"/>
    <s v="Galaxy S22 Ultra 12/256GB S908EG Burgundy Red"/>
    <n v="102645.26179999999"/>
    <x v="1"/>
    <s v="SM-S908EDRGINU"/>
    <s v="Galaxy S22 Ultra 12/256GB S908EG Burgundy Red"/>
    <n v="102645.26179999999"/>
    <s v="Premium"/>
    <s v="S2"/>
    <x v="1"/>
  </r>
  <r>
    <n v="33455"/>
    <n v="1049"/>
    <d v="2025-01-09T00:00:00"/>
    <n v="5"/>
    <s v="SM-S908EZKGINU"/>
    <n v="44"/>
    <n v="4516391.5192"/>
    <n v="102645.26179999999"/>
    <s v="Galaxy S22 Ultra 12/256GB S908EG Black"/>
    <s v="SM-S908EZKGINU"/>
    <s v="Galaxy S22 Ultra 12/256GB S908EG Black"/>
    <n v="102645.26179999999"/>
    <x v="1"/>
    <s v="SM-S908EZKGINU"/>
    <s v="Galaxy S22 Ultra 12/256GB S908EG Black"/>
    <n v="102645.26179999999"/>
    <s v="Premium"/>
    <s v="S3"/>
    <x v="2"/>
  </r>
  <r>
    <n v="78889"/>
    <n v="1050"/>
    <d v="2025-03-09T00:00:00"/>
    <n v="1"/>
    <s v="SM-S908EZWGINU"/>
    <n v="14"/>
    <n v="1437033.6651999999"/>
    <n v="102645.26179999999"/>
    <s v="Galaxy S22 Ultra 12/256GB S908EG White"/>
    <s v="SM-S908EZWGINU"/>
    <s v="Galaxy S22 Ultra 12/256GB S908EG White"/>
    <n v="102645.26179999999"/>
    <x v="1"/>
    <s v="SM-S908EZWGINU"/>
    <s v="Galaxy S22 Ultra 12/256GB S908EG White"/>
    <n v="102645.26179999999"/>
    <s v="Premium"/>
    <s v="S3"/>
    <x v="2"/>
  </r>
  <r>
    <n v="96662"/>
    <n v="1051"/>
    <d v="2025-05-09T00:00:00"/>
    <n v="6"/>
    <s v="SM-S908EDRHINU"/>
    <n v="13"/>
    <n v="1444568.2601999999"/>
    <n v="111120.6354"/>
    <s v="Galaxy S22 Ultra 12/512GB S908EH Dark Red"/>
    <s v="SM-S908EDRHINU"/>
    <s v="Galaxy S22 Ultra 12/512GB S908EH Dark Red"/>
    <n v="111120.6354"/>
    <x v="1"/>
    <s v="SM-S908EDRHINU"/>
    <s v="Galaxy S22 Ultra 12/512GB S908EH Dark Red"/>
    <n v="111120.6354"/>
    <s v="Premium"/>
    <s v="S4"/>
    <x v="3"/>
  </r>
  <r>
    <n v="89700"/>
    <n v="1052"/>
    <d v="2025-07-09T00:00:00"/>
    <n v="4"/>
    <s v="SM-F926BZGDINU"/>
    <n v="8"/>
    <n v="1122508.7008"/>
    <n v="140313.5876"/>
    <s v="Z Fold3 (256GB) F926BD Bronze"/>
    <s v="SM-F926BZGDINU"/>
    <s v="Z Fold3 (256GB) F926BD Bronze"/>
    <n v="140313.5876"/>
    <x v="1"/>
    <s v="SM-F926BZGDINU"/>
    <s v="Z Fold3 (256GB) F926BD Bronze"/>
    <n v="140313.5876"/>
    <s v="Premium"/>
    <s v="S1S"/>
    <x v="4"/>
  </r>
  <r>
    <n v="34800"/>
    <n v="1053"/>
    <d v="2025-09-09T00:00:00"/>
    <n v="3"/>
    <s v="SM-F926BZSDINU"/>
    <n v="3"/>
    <n v="420940.76280000003"/>
    <n v="140313.5876"/>
    <s v="Z Fold3 (256GB) F926BD Silver"/>
    <s v="SM-F926BZSDINU"/>
    <s v="Z Fold3 (256GB) F926BD Silver"/>
    <n v="140313.5876"/>
    <x v="1"/>
    <s v="SM-F926BZSDINU"/>
    <s v="Z Fold3 (256GB) F926BD Silver"/>
    <n v="140313.5876"/>
    <s v="Premium"/>
    <s v="S1N"/>
    <x v="5"/>
  </r>
  <r>
    <n v="43678"/>
    <n v="1054"/>
    <d v="2025-11-09T00:00:00"/>
    <n v="1"/>
    <s v="SM-T225NZAAINS"/>
    <n v="143"/>
    <n v="1952497.2896"/>
    <n v="13653.8272"/>
    <s v="Lite LTE (32GB) Gray"/>
    <s v="SM-T225NZAAINS"/>
    <s v="Lite LTE (32GB) Gray"/>
    <n v="13653.8272"/>
    <x v="1"/>
    <s v="SM-T225NZAAINS"/>
    <s v="Lite LTE (32GB) Gray"/>
    <n v="13653.8272"/>
    <s v="Premium"/>
    <s v="S1"/>
    <x v="0"/>
  </r>
  <r>
    <n v="96678"/>
    <n v="1055"/>
    <d v="2025-02-10T00:00:00"/>
    <n v="2"/>
    <s v="SM-P613NZIAINU"/>
    <n v="1"/>
    <n v="26367.984999999997"/>
    <n v="26367.984999999997"/>
    <s v="P613 Tab S6 Lite WIFI Pink"/>
    <s v="SM-P613NZIAINU"/>
    <s v="P613 Tab S6 Lite WIFI Pink"/>
    <n v="26367.984999999997"/>
    <x v="1"/>
    <s v="SM-P613NZIAINU"/>
    <s v="P613 Tab S6 Lite WIFI Pink"/>
    <n v="26367.984999999997"/>
    <s v="Premium"/>
    <s v="S2"/>
    <x v="1"/>
  </r>
  <r>
    <n v="23444"/>
    <n v="1056"/>
    <d v="2025-04-10T00:00:00"/>
    <n v="5"/>
    <s v="SM-X706BIDAINU"/>
    <n v="7"/>
    <n v="468022.42059999995"/>
    <n v="66860.345799999996"/>
    <s v="BA Tab S8 LTE 8/128GB Pink Gold"/>
    <s v="SM-X706BIDAINU"/>
    <s v="BA Tab S8 LTE 8/128GB Pink Gold"/>
    <n v="66860.345799999996"/>
    <x v="1"/>
    <s v="SM-X706BIDAINU"/>
    <s v="BA Tab S8 LTE 8/128GB Pink Gold"/>
    <n v="66860.345799999996"/>
    <s v="Premium"/>
    <s v="S3"/>
    <x v="2"/>
  </r>
  <r>
    <n v="56478"/>
    <n v="1057"/>
    <d v="2025-06-10T00:00:00"/>
    <n v="3"/>
    <s v="SM-X706BZAAINU"/>
    <n v="4"/>
    <n v="267441.38319999998"/>
    <n v="66860.345799999996"/>
    <s v="BA Tab S8 LTE 8/128GB Gray"/>
    <s v="SM-X706BZAAINU"/>
    <s v="BA Tab S8 LTE 8/128GB Gray"/>
    <n v="66860.345799999996"/>
    <x v="1"/>
    <s v="SM-X706BZAAINU"/>
    <s v="BA Tab S8 LTE 8/128GB Gray"/>
    <n v="66860.345799999996"/>
    <s v="Premium"/>
    <s v="S3"/>
    <x v="2"/>
  </r>
  <r>
    <n v="90909"/>
    <n v="1058"/>
    <d v="2025-08-10T00:00:00"/>
    <n v="1"/>
    <s v="SM-X806BIDAINU"/>
    <n v="3"/>
    <n v="248608.182"/>
    <n v="82869.394"/>
    <s v="BA Tab S8 Plus LTE 8/128GB Pink Gold"/>
    <s v="SM-X806BIDAINU"/>
    <s v="BA Tab S8 Plus LTE 8/128GB Pink Gold"/>
    <n v="82869.394"/>
    <x v="1"/>
    <s v="SM-X806BIDAINU"/>
    <s v="BA Tab S8 Plus LTE 8/128GB Pink Gold"/>
    <n v="82869.394"/>
    <s v="Premium"/>
    <s v="S4"/>
    <x v="3"/>
  </r>
  <r>
    <n v="34590"/>
    <n v="1059"/>
    <d v="2025-10-10T00:00:00"/>
    <n v="6"/>
    <s v="SM-X806BZSAINU"/>
    <n v="5"/>
    <n v="414346.97"/>
    <n v="82869.394"/>
    <s v="BA Tab S8 Plus LTE 8/128GB Silver"/>
    <s v="SM-X806BZSAINU"/>
    <s v="BA Tab S8 Plus LTE 8/128GB Silver"/>
    <n v="82869.394"/>
    <x v="1"/>
    <s v="SM-X806BZSAINU"/>
    <s v="BA Tab S8 Plus LTE 8/128GB Silver"/>
    <n v="82869.394"/>
    <s v="Premium"/>
    <s v="S1S"/>
    <x v="4"/>
  </r>
  <r>
    <n v="89089"/>
    <n v="1060"/>
    <d v="2025-12-10T00:00:00"/>
    <n v="4"/>
    <s v="SM-R860NZDAINU"/>
    <n v="5"/>
    <n v="113000.28099999999"/>
    <n v="22600.056199999999"/>
    <s v="R860 Gold"/>
    <s v="SM-R860NZDAINU"/>
    <s v="R860 Gold"/>
    <n v="22600.056199999999"/>
    <x v="1"/>
    <s v="SM-R860NZDAINU"/>
    <s v="R860 Gold"/>
    <n v="22600.056199999999"/>
    <s v="Premium"/>
    <s v="S1N"/>
    <x v="5"/>
  </r>
  <r>
    <n v="23140"/>
    <n v="1061"/>
    <d v="2025-01-11T00:00:00"/>
    <n v="7"/>
    <s v="SM-R860NZKAINU"/>
    <n v="14"/>
    <n v="316400.7868"/>
    <n v="22600.056199999999"/>
    <s v="R860 Black"/>
    <s v="SM-R860NZKAINU"/>
    <s v="R860 Black"/>
    <n v="22600.056199999999"/>
    <x v="1"/>
    <s v="SM-R860NZKAINU"/>
    <s v="R860 Black"/>
    <n v="22600.056199999999"/>
    <s v="Premium"/>
    <s v="S1"/>
    <x v="0"/>
  </r>
  <r>
    <n v="67024"/>
    <n v="1062"/>
    <d v="2025-03-11T00:00:00"/>
    <n v="3"/>
    <s v="SM-R860NZSAINU"/>
    <n v="10"/>
    <n v="226000.56199999998"/>
    <n v="22600.056199999999"/>
    <s v="R860 Silver"/>
    <s v="SM-R860NZSAINU"/>
    <s v="R860 Silver"/>
    <n v="22600.056199999999"/>
    <x v="1"/>
    <s v="SM-R860NZSAINU"/>
    <s v="R860 Silver"/>
    <n v="22600.056199999999"/>
    <s v="Premium"/>
    <s v="S2"/>
    <x v="1"/>
  </r>
  <r>
    <n v="78342"/>
    <n v="1063"/>
    <d v="2025-05-11T00:00:00"/>
    <n v="1"/>
    <s v="SM-R865FZKAINU"/>
    <n v="1"/>
    <n v="27308.598399999999"/>
    <n v="27308.598399999999"/>
    <s v="R865 Black"/>
    <s v="SM-R865FZKAINU"/>
    <s v="R865 Black"/>
    <n v="27308.598399999999"/>
    <x v="1"/>
    <s v="SM-R865FZKAINU"/>
    <s v="R865 Black"/>
    <n v="27308.598399999999"/>
    <s v="Premium"/>
    <s v="S3"/>
    <x v="2"/>
  </r>
  <r>
    <n v="65290"/>
    <n v="1064"/>
    <d v="2025-07-11T00:00:00"/>
    <n v="6"/>
    <s v="SM-R865FZSAINU"/>
    <n v="4"/>
    <n v="109234.3936"/>
    <n v="27308.598399999999"/>
    <s v="R865 Silver"/>
    <s v="SM-R865FZSAINU"/>
    <s v="R865 Silver"/>
    <n v="27308.598399999999"/>
    <x v="1"/>
    <s v="SM-R865FZSAINU"/>
    <s v="R865 Silver"/>
    <n v="27308.598399999999"/>
    <s v="Premium"/>
    <s v="S3"/>
    <x v="2"/>
  </r>
  <r>
    <n v="89756"/>
    <n v="1065"/>
    <d v="2025-09-11T00:00:00"/>
    <n v="5"/>
    <s v="SM-R875FZSAINU"/>
    <n v="1"/>
    <n v="30133.718999999997"/>
    <n v="30133.718999999997"/>
    <s v="R875 Silver"/>
    <s v="SM-R875FZSAINU"/>
    <s v="R875 Silver"/>
    <n v="30133.718999999997"/>
    <x v="1"/>
    <s v="SM-R875FZSAINU"/>
    <s v="R875 Silver"/>
    <n v="30133.718999999997"/>
    <s v="Premium"/>
    <s v="S4"/>
    <x v="3"/>
  </r>
  <r>
    <n v="45643"/>
    <n v="1066"/>
    <d v="2025-11-11T00:00:00"/>
    <n v="3"/>
    <s v="SM-R890NZSAINU"/>
    <n v="1"/>
    <n v="32958.8514"/>
    <n v="32958.8514"/>
    <s v="BT 46mm R890 Silver"/>
    <s v="SM-R890NZSAINU"/>
    <s v="BT 46mm R890 Silver"/>
    <n v="32958.8514"/>
    <x v="1"/>
    <s v="SM-R890NZSAINU"/>
    <s v="BT 46mm R890 Silver"/>
    <n v="32958.8514"/>
    <s v="Premium"/>
    <s v="S1S"/>
    <x v="4"/>
  </r>
  <r>
    <n v="45673"/>
    <n v="1067"/>
    <d v="2025-02-12T00:00:00"/>
    <n v="4"/>
    <s v="SM-R895FZSAINU"/>
    <n v="3"/>
    <n v="113002.18079999999"/>
    <n v="37667.393599999996"/>
    <s v="LTE 46mm R895 Silver"/>
    <s v="SM-R895FZSAINU"/>
    <s v="LTE 46mm R895 Silver"/>
    <n v="37667.393599999996"/>
    <x v="1"/>
    <s v="SM-R895FZSAINU"/>
    <s v="LTE 46mm R895 Silver"/>
    <n v="37667.393599999996"/>
    <s v="Premium"/>
    <s v="S1N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49F76-29DC-46E2-9B1A-F0B079DAE0DF}" name="PivotTable1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D11" firstHeaderRow="1" firstDataRow="2" firstDataCol="1"/>
  <pivotFields count="19">
    <pivotField showAll="0"/>
    <pivotField showAll="0"/>
    <pivotField numFmtId="14" showAll="0"/>
    <pivotField numFmtId="1" showAll="0"/>
    <pivotField showAll="0"/>
    <pivotField showAll="0"/>
    <pivotField dataField="1" numFmtId="1" showAll="0"/>
    <pivotField numFmtId="2" showAll="0"/>
    <pivotField showAll="0"/>
    <pivotField showAll="0"/>
    <pivotField showAll="0"/>
    <pivotField numFmtId="2" showAll="0"/>
    <pivotField axis="axisCol" showAll="0">
      <items count="3">
        <item x="0"/>
        <item x="1"/>
        <item t="default"/>
      </items>
    </pivotField>
    <pivotField showAll="0"/>
    <pivotField showAll="0"/>
    <pivotField numFmtId="2" showAll="0"/>
    <pivotField showAll="0"/>
    <pivotField showAll="0"/>
    <pivotField axis="axisRow" showAll="0">
      <items count="7">
        <item x="3"/>
        <item x="2"/>
        <item x="0"/>
        <item x="5"/>
        <item x="4"/>
        <item x="1"/>
        <item t="default"/>
      </items>
    </pivotField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Sales Amount" fld="6" baseField="0" baseItem="0" numFmtId="1"/>
  </dataFields>
  <formats count="1">
    <format dxfId="3">
      <pivotArea outline="0" collapsedLevelsAreSubtotals="1" fieldPosition="0"/>
    </format>
  </format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46C90-DC14-494D-85E1-AD269B31198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16" firstHeaderRow="1" firstDataRow="1" firstDataCol="1"/>
  <pivotFields count="9">
    <pivotField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" showAll="0"/>
    <pivotField showAll="0"/>
    <pivotField showAll="0"/>
    <pivotField dataField="1" numFmtId="1" showAll="0"/>
    <pivotField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 Amount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9EFC5-4D2D-460A-B8C0-00930E122E1C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41:B109" firstHeaderRow="1" firstDataRow="1" firstDataCol="1"/>
  <pivotFields count="2">
    <pivotField axis="axisRow" allDrilled="1" subtotalTop="0" showAll="0" sortType="descending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8">
    <i>
      <x v="14"/>
    </i>
    <i>
      <x v="13"/>
    </i>
    <i>
      <x v="49"/>
    </i>
    <i>
      <x v="39"/>
    </i>
    <i>
      <x v="12"/>
    </i>
    <i>
      <x v="20"/>
    </i>
    <i>
      <x v="30"/>
    </i>
    <i>
      <x v="15"/>
    </i>
    <i>
      <x v="40"/>
    </i>
    <i>
      <x v="31"/>
    </i>
    <i>
      <x v="22"/>
    </i>
    <i>
      <x v="9"/>
    </i>
    <i>
      <x v="11"/>
    </i>
    <i>
      <x v="48"/>
    </i>
    <i>
      <x v="35"/>
    </i>
    <i>
      <x v="18"/>
    </i>
    <i>
      <x v="10"/>
    </i>
    <i>
      <x v="23"/>
    </i>
    <i>
      <x v="19"/>
    </i>
    <i>
      <x v="17"/>
    </i>
    <i>
      <x v="28"/>
    </i>
    <i>
      <x v="7"/>
    </i>
    <i>
      <x v="52"/>
    </i>
    <i>
      <x v="24"/>
    </i>
    <i>
      <x v="37"/>
    </i>
    <i>
      <x v="21"/>
    </i>
    <i>
      <x v="27"/>
    </i>
    <i>
      <x v="51"/>
    </i>
    <i>
      <x v="50"/>
    </i>
    <i>
      <x v="65"/>
    </i>
    <i>
      <x v="32"/>
    </i>
    <i>
      <x v="34"/>
    </i>
    <i>
      <x v="36"/>
    </i>
    <i>
      <x v="43"/>
    </i>
    <i>
      <x v="42"/>
    </i>
    <i>
      <x v="29"/>
    </i>
    <i>
      <x v="41"/>
    </i>
    <i>
      <x v="44"/>
    </i>
    <i>
      <x v="46"/>
    </i>
    <i>
      <x v="2"/>
    </i>
    <i>
      <x v="8"/>
    </i>
    <i>
      <x v="66"/>
    </i>
    <i>
      <x v="4"/>
    </i>
    <i>
      <x v="26"/>
    </i>
    <i>
      <x v="58"/>
    </i>
    <i>
      <x v="33"/>
    </i>
    <i>
      <x v="47"/>
    </i>
    <i>
      <x v="45"/>
    </i>
    <i>
      <x v="54"/>
    </i>
    <i>
      <x v="1"/>
    </i>
    <i>
      <x v="64"/>
    </i>
    <i>
      <x v="3"/>
    </i>
    <i>
      <x v="60"/>
    </i>
    <i>
      <x v="57"/>
    </i>
    <i>
      <x v="55"/>
    </i>
    <i>
      <x v="53"/>
    </i>
    <i>
      <x v="59"/>
    </i>
    <i>
      <x v="62"/>
    </i>
    <i>
      <x/>
    </i>
    <i>
      <x v="25"/>
    </i>
    <i>
      <x v="6"/>
    </i>
    <i>
      <x v="5"/>
    </i>
    <i>
      <x v="63"/>
    </i>
    <i>
      <x v="38"/>
    </i>
    <i>
      <x v="61"/>
    </i>
    <i>
      <x v="56"/>
    </i>
    <i>
      <x v="16"/>
    </i>
    <i t="grand">
      <x/>
    </i>
  </rowItems>
  <colItems count="1">
    <i/>
  </colItems>
  <dataFields count="1">
    <dataField name="Sum of Sales Amount" fld="1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2!$A$1:$I$6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2C83B-489B-4A06-9947-94DF42F4C50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22:B30" firstHeaderRow="1" firstDataRow="1" firstDataCol="1"/>
  <pivotFields count="9">
    <pivotField showAll="0"/>
    <pivotField showAll="0"/>
    <pivotField numFmtId="14" showAll="0"/>
    <pivotField axis="axisRow" numFmtId="1" showAll="0">
      <items count="8">
        <item x="5"/>
        <item x="4"/>
        <item x="3"/>
        <item x="0"/>
        <item x="2"/>
        <item x="6"/>
        <item x="1"/>
        <item t="default"/>
      </items>
    </pivotField>
    <pivotField showAll="0"/>
    <pivotField showAll="0"/>
    <pivotField dataField="1" numFmtId="1" showAll="0"/>
    <pivotField numFmtId="2" showAll="0"/>
    <pivotField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 Amount" fld="6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2EA3-A7E0-4C9C-AC92-0708DF7077A6}">
  <dimension ref="A3:D11"/>
  <sheetViews>
    <sheetView workbookViewId="0">
      <selection activeCell="B19" sqref="B19"/>
    </sheetView>
  </sheetViews>
  <sheetFormatPr defaultRowHeight="15"/>
  <cols>
    <col min="1" max="1" width="20" bestFit="1" customWidth="1"/>
    <col min="2" max="2" width="16.42578125" bestFit="1" customWidth="1"/>
    <col min="3" max="4" width="13.7109375" bestFit="1" customWidth="1"/>
  </cols>
  <sheetData>
    <row r="3" spans="1:4">
      <c r="A3" s="30" t="s">
        <v>172</v>
      </c>
      <c r="B3" s="30" t="s">
        <v>179</v>
      </c>
    </row>
    <row r="4" spans="1:4">
      <c r="A4" s="30" t="s">
        <v>158</v>
      </c>
      <c r="B4" t="s">
        <v>177</v>
      </c>
      <c r="C4" t="s">
        <v>178</v>
      </c>
      <c r="D4" t="s">
        <v>159</v>
      </c>
    </row>
    <row r="5" spans="1:4">
      <c r="A5" s="31" t="s">
        <v>86</v>
      </c>
      <c r="B5" s="29">
        <v>284412.28479999996</v>
      </c>
      <c r="C5" s="29">
        <v>42411494.3684</v>
      </c>
      <c r="D5" s="29">
        <v>42695906.653200001</v>
      </c>
    </row>
    <row r="6" spans="1:4">
      <c r="A6" s="31" t="s">
        <v>85</v>
      </c>
      <c r="B6" s="29">
        <v>573457.85140000004</v>
      </c>
      <c r="C6" s="29">
        <v>30542016.699999999</v>
      </c>
      <c r="D6" s="29">
        <v>31115474.551399998</v>
      </c>
    </row>
    <row r="7" spans="1:4">
      <c r="A7" s="31" t="s">
        <v>83</v>
      </c>
      <c r="B7" s="29">
        <v>81972.806400000001</v>
      </c>
      <c r="C7" s="29">
        <v>21618365.395199995</v>
      </c>
      <c r="D7" s="29">
        <v>21700338.201599997</v>
      </c>
    </row>
    <row r="8" spans="1:4">
      <c r="A8" s="31" t="s">
        <v>88</v>
      </c>
      <c r="B8" s="29">
        <v>3028034.9811999998</v>
      </c>
      <c r="C8" s="29">
        <v>18906260.121199995</v>
      </c>
      <c r="D8" s="29">
        <v>21934295.102399994</v>
      </c>
    </row>
    <row r="9" spans="1:4">
      <c r="A9" s="31" t="s">
        <v>87</v>
      </c>
      <c r="B9" s="29">
        <v>49903.143999999993</v>
      </c>
      <c r="C9" s="29">
        <v>35917339.411400005</v>
      </c>
      <c r="D9" s="29">
        <v>35967242.555400006</v>
      </c>
    </row>
    <row r="10" spans="1:4">
      <c r="A10" s="31" t="s">
        <v>84</v>
      </c>
      <c r="B10" s="29">
        <v>2175086.2828000002</v>
      </c>
      <c r="C10" s="29">
        <v>21734503.744599998</v>
      </c>
      <c r="D10" s="29">
        <v>23909590.027399998</v>
      </c>
    </row>
    <row r="11" spans="1:4">
      <c r="A11" s="31" t="s">
        <v>159</v>
      </c>
      <c r="B11" s="29">
        <v>6192867.3506000005</v>
      </c>
      <c r="C11" s="29">
        <v>171129979.74079999</v>
      </c>
      <c r="D11" s="29">
        <v>177322847.0914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8C9A-5D8C-403C-A75B-1AC82DFA7913}">
  <dimension ref="A1:B109"/>
  <sheetViews>
    <sheetView tabSelected="1" topLeftCell="A72" workbookViewId="0">
      <selection activeCell="G88" sqref="G88"/>
    </sheetView>
  </sheetViews>
  <sheetFormatPr defaultRowHeight="15"/>
  <cols>
    <col min="1" max="1" width="44.28515625" bestFit="1" customWidth="1"/>
    <col min="2" max="2" width="20" bestFit="1" customWidth="1"/>
  </cols>
  <sheetData>
    <row r="1" spans="1:2">
      <c r="A1" s="49" t="s">
        <v>174</v>
      </c>
      <c r="B1" s="49"/>
    </row>
    <row r="3" spans="1:2">
      <c r="A3" s="30" t="s">
        <v>158</v>
      </c>
      <c r="B3" t="s">
        <v>172</v>
      </c>
    </row>
    <row r="4" spans="1:2">
      <c r="A4" s="31" t="s">
        <v>160</v>
      </c>
      <c r="B4">
        <v>13531885.610600002</v>
      </c>
    </row>
    <row r="5" spans="1:2">
      <c r="A5" s="31" t="s">
        <v>161</v>
      </c>
      <c r="B5">
        <v>11148573.554199997</v>
      </c>
    </row>
    <row r="6" spans="1:2">
      <c r="A6" s="31" t="s">
        <v>162</v>
      </c>
      <c r="B6">
        <v>6073397.459999999</v>
      </c>
    </row>
    <row r="7" spans="1:2">
      <c r="A7" s="31" t="s">
        <v>163</v>
      </c>
      <c r="B7">
        <v>8145156.1342000002</v>
      </c>
    </row>
    <row r="8" spans="1:2">
      <c r="A8" s="31" t="s">
        <v>164</v>
      </c>
      <c r="B8">
        <v>19164105.437600002</v>
      </c>
    </row>
    <row r="9" spans="1:2">
      <c r="A9" s="31" t="s">
        <v>165</v>
      </c>
      <c r="B9">
        <v>6566738.6096000001</v>
      </c>
    </row>
    <row r="10" spans="1:2">
      <c r="A10" s="31" t="s">
        <v>166</v>
      </c>
      <c r="B10">
        <v>37204892.883200005</v>
      </c>
    </row>
    <row r="11" spans="1:2">
      <c r="A11" s="31" t="s">
        <v>167</v>
      </c>
      <c r="B11">
        <v>5206620.7428000001</v>
      </c>
    </row>
    <row r="12" spans="1:2">
      <c r="A12" s="31" t="s">
        <v>168</v>
      </c>
      <c r="B12">
        <v>19921023.411399998</v>
      </c>
    </row>
    <row r="13" spans="1:2">
      <c r="A13" s="31" t="s">
        <v>169</v>
      </c>
      <c r="B13">
        <v>15363486.271599999</v>
      </c>
    </row>
    <row r="14" spans="1:2">
      <c r="A14" s="31" t="s">
        <v>170</v>
      </c>
      <c r="B14">
        <v>11629509.788599998</v>
      </c>
    </row>
    <row r="15" spans="1:2">
      <c r="A15" s="31" t="s">
        <v>171</v>
      </c>
      <c r="B15">
        <v>23367457.187599998</v>
      </c>
    </row>
    <row r="16" spans="1:2">
      <c r="A16" s="31" t="s">
        <v>159</v>
      </c>
      <c r="B16">
        <v>177322847.0914</v>
      </c>
    </row>
    <row r="20" spans="1:2">
      <c r="A20" s="49" t="s">
        <v>173</v>
      </c>
      <c r="B20" s="49"/>
    </row>
    <row r="22" spans="1:2">
      <c r="A22" s="30" t="s">
        <v>158</v>
      </c>
      <c r="B22" t="s">
        <v>172</v>
      </c>
    </row>
    <row r="23" spans="1:2">
      <c r="A23" s="32">
        <v>1</v>
      </c>
      <c r="B23">
        <v>9892288.9732000008</v>
      </c>
    </row>
    <row r="24" spans="1:2">
      <c r="A24" s="32">
        <v>2</v>
      </c>
      <c r="B24">
        <v>52719883.850599989</v>
      </c>
    </row>
    <row r="25" spans="1:2">
      <c r="A25" s="32">
        <v>3</v>
      </c>
      <c r="B25">
        <v>14898724.344399998</v>
      </c>
    </row>
    <row r="26" spans="1:2">
      <c r="A26" s="32">
        <v>4</v>
      </c>
      <c r="B26">
        <v>32118229.2766</v>
      </c>
    </row>
    <row r="27" spans="1:2">
      <c r="A27" s="32">
        <v>5</v>
      </c>
      <c r="B27">
        <v>28049902.814400002</v>
      </c>
    </row>
    <row r="28" spans="1:2">
      <c r="A28" s="32">
        <v>6</v>
      </c>
      <c r="B28">
        <v>17676282.047199998</v>
      </c>
    </row>
    <row r="29" spans="1:2">
      <c r="A29" s="32">
        <v>7</v>
      </c>
      <c r="B29">
        <v>21967535.785</v>
      </c>
    </row>
    <row r="30" spans="1:2">
      <c r="A30" s="32" t="s">
        <v>159</v>
      </c>
      <c r="B30">
        <v>177322847.09139997</v>
      </c>
    </row>
    <row r="41" spans="1:2">
      <c r="A41" s="30" t="s">
        <v>158</v>
      </c>
      <c r="B41" t="s">
        <v>172</v>
      </c>
    </row>
    <row r="42" spans="1:2">
      <c r="A42" s="31" t="s">
        <v>104</v>
      </c>
      <c r="B42">
        <v>21214254.8072</v>
      </c>
    </row>
    <row r="43" spans="1:2">
      <c r="A43" s="31" t="s">
        <v>105</v>
      </c>
      <c r="B43">
        <v>16318657.543999998</v>
      </c>
    </row>
    <row r="44" spans="1:2">
      <c r="A44" s="31" t="s">
        <v>136</v>
      </c>
      <c r="B44">
        <v>12112140.892399998</v>
      </c>
    </row>
    <row r="45" spans="1:2">
      <c r="A45" s="31" t="s">
        <v>128</v>
      </c>
      <c r="B45">
        <v>11175949.7784</v>
      </c>
    </row>
    <row r="46" spans="1:2">
      <c r="A46" s="31" t="s">
        <v>107</v>
      </c>
      <c r="B46">
        <v>9288495.1389999986</v>
      </c>
    </row>
    <row r="47" spans="1:2">
      <c r="A47" s="31" t="s">
        <v>115</v>
      </c>
      <c r="B47">
        <v>9191643.5591999982</v>
      </c>
    </row>
    <row r="48" spans="1:2">
      <c r="A48" s="31" t="s">
        <v>123</v>
      </c>
      <c r="B48">
        <v>8319577.7279999992</v>
      </c>
    </row>
    <row r="49" spans="1:2">
      <c r="A49" s="31" t="s">
        <v>106</v>
      </c>
      <c r="B49">
        <v>8255320.8751999987</v>
      </c>
    </row>
    <row r="50" spans="1:2">
      <c r="A50" s="31" t="s">
        <v>127</v>
      </c>
      <c r="B50">
        <v>7927127.1683999998</v>
      </c>
    </row>
    <row r="51" spans="1:2">
      <c r="A51" s="31" t="s">
        <v>124</v>
      </c>
      <c r="B51">
        <v>6776496.4715999998</v>
      </c>
    </row>
    <row r="52" spans="1:2">
      <c r="A52" s="31" t="s">
        <v>111</v>
      </c>
      <c r="B52">
        <v>6293098.8162000002</v>
      </c>
    </row>
    <row r="53" spans="1:2">
      <c r="A53" s="31" t="s">
        <v>101</v>
      </c>
      <c r="B53">
        <v>5046561.6959999995</v>
      </c>
    </row>
    <row r="54" spans="1:2">
      <c r="A54" s="31" t="s">
        <v>108</v>
      </c>
      <c r="B54">
        <v>4666188.8965999996</v>
      </c>
    </row>
    <row r="55" spans="1:2">
      <c r="A55" s="31" t="s">
        <v>137</v>
      </c>
      <c r="B55">
        <v>4516391.5192</v>
      </c>
    </row>
    <row r="56" spans="1:2">
      <c r="A56" s="31" t="s">
        <v>98</v>
      </c>
      <c r="B56">
        <v>3782777.7311999998</v>
      </c>
    </row>
    <row r="57" spans="1:2">
      <c r="A57" s="31" t="s">
        <v>116</v>
      </c>
      <c r="B57">
        <v>3298532.9183999994</v>
      </c>
    </row>
    <row r="58" spans="1:2">
      <c r="A58" s="31" t="s">
        <v>100</v>
      </c>
      <c r="B58">
        <v>2779174.2319999998</v>
      </c>
    </row>
    <row r="59" spans="1:2">
      <c r="A59" s="31" t="s">
        <v>113</v>
      </c>
      <c r="B59">
        <v>2513674.0313999997</v>
      </c>
    </row>
    <row r="60" spans="1:2">
      <c r="A60" s="31" t="s">
        <v>117</v>
      </c>
      <c r="B60">
        <v>2212430.6159999995</v>
      </c>
    </row>
    <row r="61" spans="1:2">
      <c r="A61" s="31" t="s">
        <v>109</v>
      </c>
      <c r="B61">
        <v>2207817.2879999997</v>
      </c>
    </row>
    <row r="62" spans="1:2">
      <c r="A62" s="31" t="s">
        <v>121</v>
      </c>
      <c r="B62">
        <v>2188715.3064000001</v>
      </c>
    </row>
    <row r="63" spans="1:2">
      <c r="A63" s="31" t="s">
        <v>102</v>
      </c>
      <c r="B63">
        <v>1956492.1324</v>
      </c>
    </row>
    <row r="64" spans="1:2">
      <c r="A64" s="31" t="s">
        <v>142</v>
      </c>
      <c r="B64">
        <v>1952497.2896</v>
      </c>
    </row>
    <row r="65" spans="1:2">
      <c r="A65" s="31" t="s">
        <v>114</v>
      </c>
      <c r="B65">
        <v>1919861.18</v>
      </c>
    </row>
    <row r="66" spans="1:2">
      <c r="A66" s="31" t="s">
        <v>97</v>
      </c>
      <c r="B66">
        <v>1616489.0799999998</v>
      </c>
    </row>
    <row r="67" spans="1:2">
      <c r="A67" s="31" t="s">
        <v>112</v>
      </c>
      <c r="B67">
        <v>1586645.3106</v>
      </c>
    </row>
    <row r="68" spans="1:2">
      <c r="A68" s="31" t="s">
        <v>120</v>
      </c>
      <c r="B68">
        <v>1482470.1198</v>
      </c>
    </row>
    <row r="69" spans="1:2">
      <c r="A69" s="31" t="s">
        <v>139</v>
      </c>
      <c r="B69">
        <v>1444568.2601999999</v>
      </c>
    </row>
    <row r="70" spans="1:2">
      <c r="A70" s="31" t="s">
        <v>138</v>
      </c>
      <c r="B70">
        <v>1437033.6651999999</v>
      </c>
    </row>
    <row r="71" spans="1:2">
      <c r="A71" s="31" t="s">
        <v>140</v>
      </c>
      <c r="B71">
        <v>1122508.7008</v>
      </c>
    </row>
    <row r="72" spans="1:2">
      <c r="A72" s="31" t="s">
        <v>125</v>
      </c>
      <c r="B72">
        <v>1056884.7708000001</v>
      </c>
    </row>
    <row r="73" spans="1:2">
      <c r="A73" s="31" t="s">
        <v>95</v>
      </c>
      <c r="B73">
        <v>1055463.9091999999</v>
      </c>
    </row>
    <row r="74" spans="1:2">
      <c r="A74" s="31" t="s">
        <v>96</v>
      </c>
      <c r="B74">
        <v>986058.33879999991</v>
      </c>
    </row>
    <row r="75" spans="1:2">
      <c r="A75" s="31" t="s">
        <v>129</v>
      </c>
      <c r="B75">
        <v>888957.62560000003</v>
      </c>
    </row>
    <row r="76" spans="1:2">
      <c r="A76" s="31" t="s">
        <v>130</v>
      </c>
      <c r="B76">
        <v>777837.92240000004</v>
      </c>
    </row>
    <row r="77" spans="1:2">
      <c r="A77" s="31" t="s">
        <v>122</v>
      </c>
      <c r="B77">
        <v>658253.93760000006</v>
      </c>
    </row>
    <row r="78" spans="1:2">
      <c r="A78" s="31" t="s">
        <v>131</v>
      </c>
      <c r="B78">
        <v>584792.31779999996</v>
      </c>
    </row>
    <row r="79" spans="1:2">
      <c r="A79" s="31" t="s">
        <v>132</v>
      </c>
      <c r="B79">
        <v>542416.35840000003</v>
      </c>
    </row>
    <row r="80" spans="1:2">
      <c r="A80" s="31" t="s">
        <v>134</v>
      </c>
      <c r="B80">
        <v>500982.21599999996</v>
      </c>
    </row>
    <row r="81" spans="1:2">
      <c r="A81" s="31" t="s">
        <v>144</v>
      </c>
      <c r="B81">
        <v>468022.42059999995</v>
      </c>
    </row>
    <row r="82" spans="1:2">
      <c r="A82" s="31" t="s">
        <v>103</v>
      </c>
      <c r="B82">
        <v>447981.84340000001</v>
      </c>
    </row>
    <row r="83" spans="1:2">
      <c r="A83" s="31" t="s">
        <v>141</v>
      </c>
      <c r="B83">
        <v>420940.76280000003</v>
      </c>
    </row>
    <row r="84" spans="1:2">
      <c r="A84" s="31" t="s">
        <v>147</v>
      </c>
      <c r="B84">
        <v>414346.97</v>
      </c>
    </row>
    <row r="85" spans="1:2">
      <c r="A85" s="31" t="s">
        <v>118</v>
      </c>
      <c r="B85">
        <v>362034.10079999996</v>
      </c>
    </row>
    <row r="86" spans="1:2">
      <c r="A86" s="31" t="s">
        <v>149</v>
      </c>
      <c r="B86">
        <v>316400.7868</v>
      </c>
    </row>
    <row r="87" spans="1:2">
      <c r="A87" s="31" t="s">
        <v>126</v>
      </c>
      <c r="B87">
        <v>315415.77</v>
      </c>
    </row>
    <row r="88" spans="1:2">
      <c r="A88" s="31" t="s">
        <v>135</v>
      </c>
      <c r="B88">
        <v>307935.75</v>
      </c>
    </row>
    <row r="89" spans="1:2">
      <c r="A89" s="31" t="s">
        <v>133</v>
      </c>
      <c r="B89">
        <v>286275.55199999997</v>
      </c>
    </row>
    <row r="90" spans="1:2">
      <c r="A90" s="31" t="s">
        <v>90</v>
      </c>
      <c r="B90">
        <v>284412.28479999996</v>
      </c>
    </row>
    <row r="91" spans="1:2">
      <c r="A91" s="31" t="s">
        <v>145</v>
      </c>
      <c r="B91">
        <v>267441.38319999998</v>
      </c>
    </row>
    <row r="92" spans="1:2">
      <c r="A92" s="31" t="s">
        <v>94</v>
      </c>
      <c r="B92">
        <v>248860.74919999999</v>
      </c>
    </row>
    <row r="93" spans="1:2">
      <c r="A93" s="31" t="s">
        <v>146</v>
      </c>
      <c r="B93">
        <v>248608.182</v>
      </c>
    </row>
    <row r="94" spans="1:2">
      <c r="A94" s="31" t="s">
        <v>150</v>
      </c>
      <c r="B94">
        <v>226000.56199999998</v>
      </c>
    </row>
    <row r="95" spans="1:2">
      <c r="A95" s="31" t="s">
        <v>92</v>
      </c>
      <c r="B95">
        <v>218594.15039999998</v>
      </c>
    </row>
    <row r="96" spans="1:2">
      <c r="A96" s="31" t="s">
        <v>89</v>
      </c>
      <c r="B96">
        <v>125476.00799999999</v>
      </c>
    </row>
    <row r="97" spans="1:2">
      <c r="A97" s="31" t="s">
        <v>155</v>
      </c>
      <c r="B97">
        <v>113002.18079999999</v>
      </c>
    </row>
    <row r="98" spans="1:2">
      <c r="A98" s="31" t="s">
        <v>148</v>
      </c>
      <c r="B98">
        <v>113000.28099999999</v>
      </c>
    </row>
    <row r="99" spans="1:2">
      <c r="A99" s="31" t="s">
        <v>152</v>
      </c>
      <c r="B99">
        <v>109234.3936</v>
      </c>
    </row>
    <row r="100" spans="1:2">
      <c r="A100" s="31" t="s">
        <v>176</v>
      </c>
      <c r="B100">
        <v>81972.806400000001</v>
      </c>
    </row>
    <row r="101" spans="1:2">
      <c r="A101" s="31" t="s">
        <v>119</v>
      </c>
      <c r="B101">
        <v>80452.022399999987</v>
      </c>
    </row>
    <row r="102" spans="1:2">
      <c r="A102" s="31" t="s">
        <v>93</v>
      </c>
      <c r="B102">
        <v>49903.143999999993</v>
      </c>
    </row>
    <row r="103" spans="1:2">
      <c r="A103" s="31" t="s">
        <v>154</v>
      </c>
      <c r="B103">
        <v>32958.8514</v>
      </c>
    </row>
    <row r="104" spans="1:2">
      <c r="A104" s="31" t="s">
        <v>153</v>
      </c>
      <c r="B104">
        <v>30133.718999999997</v>
      </c>
    </row>
    <row r="105" spans="1:2">
      <c r="A105" s="31" t="s">
        <v>99</v>
      </c>
      <c r="B105">
        <v>28527.007399999999</v>
      </c>
    </row>
    <row r="106" spans="1:2">
      <c r="A106" s="31" t="s">
        <v>151</v>
      </c>
      <c r="B106">
        <v>27308.598399999999</v>
      </c>
    </row>
    <row r="107" spans="1:2">
      <c r="A107" s="31" t="s">
        <v>143</v>
      </c>
      <c r="B107">
        <v>26367.984999999997</v>
      </c>
    </row>
    <row r="108" spans="1:2">
      <c r="A108" s="31" t="s">
        <v>110</v>
      </c>
      <c r="B108">
        <v>15998.675999999999</v>
      </c>
    </row>
    <row r="109" spans="1:2">
      <c r="A109" s="31" t="s">
        <v>159</v>
      </c>
      <c r="B109">
        <v>177322847.09139994</v>
      </c>
    </row>
  </sheetData>
  <mergeCells count="2">
    <mergeCell ref="A20:B20"/>
    <mergeCell ref="A1:B1"/>
  </mergeCells>
  <conditionalFormatting sqref="A42:A108">
    <cfRule type="top10" dxfId="4" priority="1" rank="5"/>
  </conditionalFormatting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509B-B4D7-4935-94E4-A25919A67DC7}">
  <dimension ref="C2:S58"/>
  <sheetViews>
    <sheetView topLeftCell="A41" workbookViewId="0">
      <selection activeCell="J52" sqref="J52"/>
    </sheetView>
  </sheetViews>
  <sheetFormatPr defaultRowHeight="15"/>
  <cols>
    <col min="1" max="16384" width="9.140625" style="33"/>
  </cols>
  <sheetData>
    <row r="2" spans="8:14">
      <c r="H2" s="51" t="s">
        <v>175</v>
      </c>
      <c r="I2" s="51"/>
      <c r="J2" s="51"/>
      <c r="K2" s="51"/>
      <c r="L2" s="51"/>
      <c r="M2" s="51"/>
      <c r="N2" s="51"/>
    </row>
    <row r="3" spans="8:14">
      <c r="H3" s="51"/>
      <c r="I3" s="51"/>
      <c r="J3" s="51"/>
      <c r="K3" s="51"/>
      <c r="L3" s="51"/>
      <c r="M3" s="51"/>
      <c r="N3" s="51"/>
    </row>
    <row r="4" spans="8:14">
      <c r="H4" s="51"/>
      <c r="I4" s="51"/>
      <c r="J4" s="51"/>
      <c r="K4" s="51"/>
      <c r="L4" s="51"/>
      <c r="M4" s="51"/>
      <c r="N4" s="51"/>
    </row>
    <row r="27" spans="3:19" ht="18.75">
      <c r="C27" s="52" t="s">
        <v>180</v>
      </c>
      <c r="D27" s="52"/>
      <c r="E27" s="52"/>
      <c r="F27" s="52"/>
      <c r="G27" s="52"/>
      <c r="H27" s="52"/>
      <c r="I27" s="52"/>
      <c r="O27" s="52" t="s">
        <v>181</v>
      </c>
      <c r="P27" s="52"/>
      <c r="Q27" s="52"/>
      <c r="R27" s="52"/>
      <c r="S27" s="52"/>
    </row>
    <row r="47" spans="3:14" ht="18.75">
      <c r="C47" s="48" t="s">
        <v>182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7"/>
    </row>
    <row r="48" spans="3:14" ht="18.75">
      <c r="C48" s="50" t="s">
        <v>183</v>
      </c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47"/>
    </row>
    <row r="49" spans="3:14" ht="18.75">
      <c r="C49" s="50" t="s">
        <v>184</v>
      </c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47"/>
    </row>
    <row r="50" spans="3:14" ht="18.75">
      <c r="C50" s="50" t="s">
        <v>185</v>
      </c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47"/>
    </row>
    <row r="51" spans="3:14" ht="18.75">
      <c r="C51" s="50" t="s">
        <v>186</v>
      </c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47"/>
    </row>
    <row r="52" spans="3:14"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3:14"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</row>
    <row r="54" spans="3:14"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</row>
    <row r="55" spans="3:14"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</row>
    <row r="56" spans="3:14"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</row>
    <row r="57" spans="3:14"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</row>
    <row r="58" spans="3:14"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</row>
  </sheetData>
  <mergeCells count="7">
    <mergeCell ref="O27:S27"/>
    <mergeCell ref="C48:M48"/>
    <mergeCell ref="C49:M49"/>
    <mergeCell ref="C50:M50"/>
    <mergeCell ref="C51:M51"/>
    <mergeCell ref="H2:N4"/>
    <mergeCell ref="C27:I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B73C-2091-4C43-B930-001C97FD360A}">
  <dimension ref="A1:S72"/>
  <sheetViews>
    <sheetView workbookViewId="0">
      <selection activeCell="K1" sqref="K1"/>
    </sheetView>
  </sheetViews>
  <sheetFormatPr defaultRowHeight="15"/>
  <cols>
    <col min="2" max="2" width="11.85546875" bestFit="1" customWidth="1"/>
    <col min="3" max="3" width="10.7109375" customWidth="1"/>
    <col min="4" max="4" width="10.140625" customWidth="1"/>
    <col min="5" max="5" width="17.7109375" bestFit="1" customWidth="1"/>
    <col min="7" max="7" width="13.28515625" bestFit="1" customWidth="1"/>
    <col min="8" max="8" width="9.5703125" bestFit="1" customWidth="1"/>
    <col min="9" max="9" width="44.28515625" bestFit="1" customWidth="1"/>
    <col min="10" max="10" width="17.7109375" bestFit="1" customWidth="1"/>
    <col min="11" max="11" width="44.28515625" bestFit="1" customWidth="1"/>
    <col min="13" max="13" width="9.42578125" bestFit="1" customWidth="1"/>
    <col min="14" max="14" width="17.7109375" bestFit="1" customWidth="1"/>
    <col min="15" max="15" width="44.28515625" bestFit="1" customWidth="1"/>
    <col min="19" max="19" width="12.85546875" bestFit="1" customWidth="1"/>
  </cols>
  <sheetData>
    <row r="1" spans="1:19" ht="30">
      <c r="A1" s="17" t="s">
        <v>71</v>
      </c>
      <c r="B1" s="17" t="s">
        <v>72</v>
      </c>
      <c r="C1" s="27" t="s">
        <v>156</v>
      </c>
      <c r="D1" s="27" t="s">
        <v>157</v>
      </c>
      <c r="E1" s="11" t="s">
        <v>0</v>
      </c>
      <c r="F1" s="23" t="s">
        <v>74</v>
      </c>
      <c r="G1" s="22" t="s">
        <v>73</v>
      </c>
      <c r="H1" s="2" t="s">
        <v>3</v>
      </c>
      <c r="I1" s="26" t="s">
        <v>1</v>
      </c>
      <c r="J1" s="1" t="s">
        <v>0</v>
      </c>
      <c r="K1" s="26" t="s">
        <v>1</v>
      </c>
      <c r="L1" s="2" t="s">
        <v>3</v>
      </c>
      <c r="M1" s="2" t="s">
        <v>2</v>
      </c>
      <c r="N1" s="34" t="s">
        <v>0</v>
      </c>
      <c r="O1" s="35" t="s">
        <v>1</v>
      </c>
      <c r="P1" s="36" t="s">
        <v>3</v>
      </c>
      <c r="Q1" s="36" t="s">
        <v>2</v>
      </c>
      <c r="R1" s="27" t="s">
        <v>75</v>
      </c>
      <c r="S1" s="27" t="s">
        <v>76</v>
      </c>
    </row>
    <row r="2" spans="1:19">
      <c r="A2" s="16">
        <v>78453</v>
      </c>
      <c r="B2" s="16">
        <v>1001</v>
      </c>
      <c r="C2" s="28">
        <v>45658</v>
      </c>
      <c r="D2" s="24">
        <f>WEEKDAY(C2)</f>
        <v>4</v>
      </c>
      <c r="E2" s="12" t="s">
        <v>4</v>
      </c>
      <c r="F2" s="18">
        <v>48</v>
      </c>
      <c r="G2" s="24">
        <f>F2*H2</f>
        <v>81972.806400000001</v>
      </c>
      <c r="H2" s="4">
        <v>1707.7667999999999</v>
      </c>
      <c r="I2" s="25" t="s">
        <v>91</v>
      </c>
      <c r="J2" s="3" t="s">
        <v>4</v>
      </c>
      <c r="K2" s="25" t="s">
        <v>91</v>
      </c>
      <c r="L2" s="4">
        <v>1707.7667999999999</v>
      </c>
      <c r="M2" s="4" t="str" cm="1">
        <f t="array" ref="M2:M68">IF(L2:L68&lt;10000,"Midrange","Premium")</f>
        <v>Midrange</v>
      </c>
      <c r="N2" s="41" t="s">
        <v>4</v>
      </c>
      <c r="O2" s="42" t="s">
        <v>91</v>
      </c>
      <c r="P2" s="37">
        <v>1707.7667999999999</v>
      </c>
      <c r="Q2" s="37" t="str" cm="1">
        <f t="array" ref="Q2:Q68">IF(P2:P68&lt;10000,"Midrange","Premium")</f>
        <v>Midrange</v>
      </c>
      <c r="R2" s="43" t="s">
        <v>77</v>
      </c>
      <c r="S2" s="43" t="s">
        <v>83</v>
      </c>
    </row>
    <row r="3" spans="1:19">
      <c r="A3" s="16">
        <v>24587</v>
      </c>
      <c r="B3" s="16">
        <v>1002</v>
      </c>
      <c r="C3" s="28">
        <v>45717</v>
      </c>
      <c r="D3" s="24">
        <f t="shared" ref="D3:D66" si="0">WEEKDAY(C3)</f>
        <v>7</v>
      </c>
      <c r="E3" s="12" t="s">
        <v>5</v>
      </c>
      <c r="F3" s="18">
        <v>128</v>
      </c>
      <c r="G3" s="24">
        <f t="shared" ref="G3:G66" si="1">F3*H3</f>
        <v>218594.15039999998</v>
      </c>
      <c r="H3" s="4">
        <v>1707.7667999999999</v>
      </c>
      <c r="I3" s="25" t="s">
        <v>92</v>
      </c>
      <c r="J3" s="3" t="s">
        <v>5</v>
      </c>
      <c r="K3" s="25" t="s">
        <v>92</v>
      </c>
      <c r="L3" s="4">
        <v>1707.7667999999999</v>
      </c>
      <c r="M3" s="4" t="str">
        <v>Midrange</v>
      </c>
      <c r="N3" s="41" t="s">
        <v>5</v>
      </c>
      <c r="O3" s="42" t="s">
        <v>92</v>
      </c>
      <c r="P3" s="37">
        <v>1707.7667999999999</v>
      </c>
      <c r="Q3" s="37" t="str">
        <v>Midrange</v>
      </c>
      <c r="R3" s="43" t="s">
        <v>78</v>
      </c>
      <c r="S3" s="43" t="s">
        <v>84</v>
      </c>
    </row>
    <row r="4" spans="1:19">
      <c r="A4" s="16">
        <v>34598</v>
      </c>
      <c r="B4" s="16">
        <v>1003</v>
      </c>
      <c r="C4" s="28">
        <v>45778</v>
      </c>
      <c r="D4" s="24">
        <f t="shared" si="0"/>
        <v>5</v>
      </c>
      <c r="E4" s="12" t="s">
        <v>6</v>
      </c>
      <c r="F4" s="18">
        <v>60</v>
      </c>
      <c r="G4" s="24">
        <f t="shared" si="1"/>
        <v>125476.00799999999</v>
      </c>
      <c r="H4" s="4">
        <v>2091.2667999999999</v>
      </c>
      <c r="I4" s="25" t="s">
        <v>89</v>
      </c>
      <c r="J4" s="3" t="s">
        <v>6</v>
      </c>
      <c r="K4" s="25" t="s">
        <v>89</v>
      </c>
      <c r="L4" s="4">
        <v>2091.2667999999999</v>
      </c>
      <c r="M4" s="4" t="str">
        <v>Midrange</v>
      </c>
      <c r="N4" s="41" t="s">
        <v>6</v>
      </c>
      <c r="O4" s="42" t="s">
        <v>89</v>
      </c>
      <c r="P4" s="37">
        <v>2091.2667999999999</v>
      </c>
      <c r="Q4" s="37" t="str">
        <v>Midrange</v>
      </c>
      <c r="R4" s="43" t="s">
        <v>79</v>
      </c>
      <c r="S4" s="43" t="s">
        <v>85</v>
      </c>
    </row>
    <row r="5" spans="1:19">
      <c r="A5" s="16">
        <v>56732</v>
      </c>
      <c r="B5" s="16">
        <v>1004</v>
      </c>
      <c r="C5" s="28">
        <v>45839</v>
      </c>
      <c r="D5" s="24">
        <f t="shared" si="0"/>
        <v>3</v>
      </c>
      <c r="E5" s="12" t="s">
        <v>7</v>
      </c>
      <c r="F5" s="18">
        <v>136</v>
      </c>
      <c r="G5" s="24">
        <f t="shared" si="1"/>
        <v>284412.28479999996</v>
      </c>
      <c r="H5" s="4">
        <v>2091.2667999999999</v>
      </c>
      <c r="I5" s="25" t="s">
        <v>90</v>
      </c>
      <c r="J5" s="3" t="s">
        <v>7</v>
      </c>
      <c r="K5" s="25" t="s">
        <v>90</v>
      </c>
      <c r="L5" s="4">
        <v>2091.2667999999999</v>
      </c>
      <c r="M5" s="4" t="str">
        <v>Midrange</v>
      </c>
      <c r="N5" s="41" t="s">
        <v>7</v>
      </c>
      <c r="O5" s="42" t="s">
        <v>90</v>
      </c>
      <c r="P5" s="37">
        <v>2091.2667999999999</v>
      </c>
      <c r="Q5" s="37" t="str">
        <v>Midrange</v>
      </c>
      <c r="R5" s="43" t="s">
        <v>80</v>
      </c>
      <c r="S5" s="43" t="s">
        <v>86</v>
      </c>
    </row>
    <row r="6" spans="1:19">
      <c r="A6" s="16">
        <v>98712</v>
      </c>
      <c r="B6" s="16">
        <v>1005</v>
      </c>
      <c r="C6" s="28">
        <v>45901</v>
      </c>
      <c r="D6" s="24">
        <f t="shared" si="0"/>
        <v>2</v>
      </c>
      <c r="E6" s="13" t="s">
        <v>8</v>
      </c>
      <c r="F6" s="19">
        <v>40</v>
      </c>
      <c r="G6" s="24">
        <f t="shared" si="1"/>
        <v>49903.143999999993</v>
      </c>
      <c r="H6" s="6">
        <v>1247.5785999999998</v>
      </c>
      <c r="I6" s="25" t="s">
        <v>93</v>
      </c>
      <c r="J6" s="5" t="s">
        <v>8</v>
      </c>
      <c r="K6" s="25" t="s">
        <v>93</v>
      </c>
      <c r="L6" s="6">
        <v>1247.5785999999998</v>
      </c>
      <c r="M6" s="6" t="str">
        <v>Midrange</v>
      </c>
      <c r="N6" s="44" t="s">
        <v>8</v>
      </c>
      <c r="O6" s="42" t="s">
        <v>93</v>
      </c>
      <c r="P6" s="38">
        <v>1247.5785999999998</v>
      </c>
      <c r="Q6" s="38" t="str">
        <v>Midrange</v>
      </c>
      <c r="R6" s="43" t="s">
        <v>81</v>
      </c>
      <c r="S6" s="43" t="s">
        <v>87</v>
      </c>
    </row>
    <row r="7" spans="1:19">
      <c r="A7" s="16">
        <v>43517</v>
      </c>
      <c r="B7" s="16">
        <v>1006</v>
      </c>
      <c r="C7" s="28">
        <v>45962</v>
      </c>
      <c r="D7" s="24">
        <f t="shared" si="0"/>
        <v>7</v>
      </c>
      <c r="E7" s="12" t="s">
        <v>9</v>
      </c>
      <c r="F7" s="18">
        <v>119</v>
      </c>
      <c r="G7" s="24">
        <f t="shared" si="1"/>
        <v>248860.74919999999</v>
      </c>
      <c r="H7" s="4">
        <v>2091.2667999999999</v>
      </c>
      <c r="I7" s="25" t="s">
        <v>94</v>
      </c>
      <c r="J7" s="3" t="s">
        <v>9</v>
      </c>
      <c r="K7" s="25" t="s">
        <v>94</v>
      </c>
      <c r="L7" s="4">
        <v>2091.2667999999999</v>
      </c>
      <c r="M7" s="4" t="str">
        <v>Midrange</v>
      </c>
      <c r="N7" s="41" t="s">
        <v>9</v>
      </c>
      <c r="O7" s="42" t="s">
        <v>94</v>
      </c>
      <c r="P7" s="37">
        <v>2091.2667999999999</v>
      </c>
      <c r="Q7" s="37" t="str">
        <v>Midrange</v>
      </c>
      <c r="R7" s="43" t="s">
        <v>82</v>
      </c>
      <c r="S7" s="43" t="s">
        <v>88</v>
      </c>
    </row>
    <row r="8" spans="1:19">
      <c r="A8" s="16">
        <v>98065</v>
      </c>
      <c r="B8" s="16">
        <v>1007</v>
      </c>
      <c r="C8" s="28">
        <v>45690</v>
      </c>
      <c r="D8" s="24">
        <f t="shared" si="0"/>
        <v>1</v>
      </c>
      <c r="E8" s="12" t="s">
        <v>10</v>
      </c>
      <c r="F8" s="18">
        <v>74</v>
      </c>
      <c r="G8" s="24">
        <f t="shared" si="1"/>
        <v>1055463.9091999999</v>
      </c>
      <c r="H8" s="4">
        <v>14263.025799999999</v>
      </c>
      <c r="I8" s="25" t="s">
        <v>95</v>
      </c>
      <c r="J8" s="3" t="s">
        <v>10</v>
      </c>
      <c r="K8" s="25" t="s">
        <v>95</v>
      </c>
      <c r="L8" s="4">
        <v>14263.025799999999</v>
      </c>
      <c r="M8" s="4" t="str">
        <v>Premium</v>
      </c>
      <c r="N8" s="41" t="s">
        <v>10</v>
      </c>
      <c r="O8" s="42" t="s">
        <v>95</v>
      </c>
      <c r="P8" s="37">
        <v>14263.025799999999</v>
      </c>
      <c r="Q8" s="37" t="str">
        <v>Premium</v>
      </c>
      <c r="R8" s="43" t="s">
        <v>77</v>
      </c>
      <c r="S8" s="43" t="s">
        <v>83</v>
      </c>
    </row>
    <row r="9" spans="1:19">
      <c r="A9" s="16">
        <v>23508</v>
      </c>
      <c r="B9" s="16">
        <v>1008</v>
      </c>
      <c r="C9" s="28">
        <v>45749</v>
      </c>
      <c r="D9" s="24">
        <f t="shared" si="0"/>
        <v>4</v>
      </c>
      <c r="E9" s="12" t="s">
        <v>11</v>
      </c>
      <c r="F9" s="18">
        <v>61</v>
      </c>
      <c r="G9" s="24">
        <f t="shared" si="1"/>
        <v>986058.33879999991</v>
      </c>
      <c r="H9" s="4">
        <v>16164.890799999999</v>
      </c>
      <c r="I9" s="25" t="s">
        <v>96</v>
      </c>
      <c r="J9" s="3" t="s">
        <v>11</v>
      </c>
      <c r="K9" s="25" t="s">
        <v>96</v>
      </c>
      <c r="L9" s="4">
        <v>16164.890799999999</v>
      </c>
      <c r="M9" s="4" t="str">
        <v>Premium</v>
      </c>
      <c r="N9" s="41" t="s">
        <v>11</v>
      </c>
      <c r="O9" s="42" t="s">
        <v>96</v>
      </c>
      <c r="P9" s="37">
        <v>16164.890799999999</v>
      </c>
      <c r="Q9" s="37" t="str">
        <v>Premium</v>
      </c>
      <c r="R9" s="43" t="s">
        <v>78</v>
      </c>
      <c r="S9" s="43" t="s">
        <v>84</v>
      </c>
    </row>
    <row r="10" spans="1:19">
      <c r="A10" s="16">
        <v>90123</v>
      </c>
      <c r="B10" s="16">
        <v>1009</v>
      </c>
      <c r="C10" s="28">
        <v>45810</v>
      </c>
      <c r="D10" s="24">
        <f t="shared" si="0"/>
        <v>2</v>
      </c>
      <c r="E10" s="12" t="s">
        <v>12</v>
      </c>
      <c r="F10" s="18">
        <v>100</v>
      </c>
      <c r="G10" s="24">
        <f t="shared" si="1"/>
        <v>1616489.0799999998</v>
      </c>
      <c r="H10" s="4">
        <v>16164.890799999999</v>
      </c>
      <c r="I10" s="25" t="s">
        <v>97</v>
      </c>
      <c r="J10" s="3" t="s">
        <v>12</v>
      </c>
      <c r="K10" s="25" t="s">
        <v>97</v>
      </c>
      <c r="L10" s="4">
        <v>16164.890799999999</v>
      </c>
      <c r="M10" s="4" t="str">
        <v>Premium</v>
      </c>
      <c r="N10" s="41" t="s">
        <v>12</v>
      </c>
      <c r="O10" s="42" t="s">
        <v>97</v>
      </c>
      <c r="P10" s="37">
        <v>16164.890799999999</v>
      </c>
      <c r="Q10" s="37" t="str">
        <v>Premium</v>
      </c>
      <c r="R10" s="43" t="s">
        <v>79</v>
      </c>
      <c r="S10" s="43" t="s">
        <v>85</v>
      </c>
    </row>
    <row r="11" spans="1:19">
      <c r="A11" s="16">
        <v>76509</v>
      </c>
      <c r="B11" s="16">
        <v>1010</v>
      </c>
      <c r="C11" s="28">
        <v>45871</v>
      </c>
      <c r="D11" s="24">
        <f t="shared" si="0"/>
        <v>7</v>
      </c>
      <c r="E11" s="12" t="s">
        <v>13</v>
      </c>
      <c r="F11" s="18">
        <v>234</v>
      </c>
      <c r="G11" s="24">
        <f t="shared" si="1"/>
        <v>3782777.7311999998</v>
      </c>
      <c r="H11" s="4">
        <v>16165.7168</v>
      </c>
      <c r="I11" s="25" t="s">
        <v>98</v>
      </c>
      <c r="J11" s="3" t="s">
        <v>13</v>
      </c>
      <c r="K11" s="25" t="s">
        <v>98</v>
      </c>
      <c r="L11" s="4">
        <v>16165.7168</v>
      </c>
      <c r="M11" s="4" t="str">
        <v>Premium</v>
      </c>
      <c r="N11" s="41" t="s">
        <v>13</v>
      </c>
      <c r="O11" s="42" t="s">
        <v>98</v>
      </c>
      <c r="P11" s="37">
        <v>16165.7168</v>
      </c>
      <c r="Q11" s="37" t="str">
        <v>Premium</v>
      </c>
      <c r="R11" s="43" t="s">
        <v>80</v>
      </c>
      <c r="S11" s="43" t="s">
        <v>86</v>
      </c>
    </row>
    <row r="12" spans="1:19">
      <c r="A12" s="16">
        <v>45620</v>
      </c>
      <c r="B12" s="16">
        <v>1011</v>
      </c>
      <c r="C12" s="28">
        <v>45932</v>
      </c>
      <c r="D12" s="24">
        <f t="shared" si="0"/>
        <v>5</v>
      </c>
      <c r="E12" s="12" t="s">
        <v>14</v>
      </c>
      <c r="F12" s="18">
        <v>1</v>
      </c>
      <c r="G12" s="24">
        <f t="shared" si="1"/>
        <v>28527.007399999999</v>
      </c>
      <c r="H12" s="4">
        <v>28527.007399999999</v>
      </c>
      <c r="I12" s="25" t="s">
        <v>99</v>
      </c>
      <c r="J12" s="3" t="s">
        <v>14</v>
      </c>
      <c r="K12" s="25" t="s">
        <v>99</v>
      </c>
      <c r="L12" s="4">
        <v>28527.007399999999</v>
      </c>
      <c r="M12" s="4" t="str">
        <v>Premium</v>
      </c>
      <c r="N12" s="41" t="s">
        <v>14</v>
      </c>
      <c r="O12" s="42" t="s">
        <v>99</v>
      </c>
      <c r="P12" s="37">
        <v>28527.007399999999</v>
      </c>
      <c r="Q12" s="37" t="str">
        <v>Premium</v>
      </c>
      <c r="R12" s="43" t="s">
        <v>81</v>
      </c>
      <c r="S12" s="43" t="s">
        <v>87</v>
      </c>
    </row>
    <row r="13" spans="1:19">
      <c r="A13" s="16">
        <v>13250</v>
      </c>
      <c r="B13" s="16">
        <v>1012</v>
      </c>
      <c r="C13" s="28">
        <v>45993</v>
      </c>
      <c r="D13" s="24">
        <f t="shared" si="0"/>
        <v>3</v>
      </c>
      <c r="E13" s="14" t="s">
        <v>15</v>
      </c>
      <c r="F13" s="20">
        <v>380</v>
      </c>
      <c r="G13" s="24">
        <f t="shared" si="1"/>
        <v>2779174.2319999998</v>
      </c>
      <c r="H13" s="8">
        <v>7313.616399999999</v>
      </c>
      <c r="I13" s="25" t="s">
        <v>100</v>
      </c>
      <c r="J13" s="7" t="s">
        <v>15</v>
      </c>
      <c r="K13" s="25" t="s">
        <v>100</v>
      </c>
      <c r="L13" s="8">
        <v>7313.616399999999</v>
      </c>
      <c r="M13" s="8" t="str">
        <v>Midrange</v>
      </c>
      <c r="N13" s="45" t="s">
        <v>15</v>
      </c>
      <c r="O13" s="42" t="s">
        <v>100</v>
      </c>
      <c r="P13" s="39">
        <v>7313.616399999999</v>
      </c>
      <c r="Q13" s="39" t="str">
        <v>Midrange</v>
      </c>
      <c r="R13" s="43" t="s">
        <v>82</v>
      </c>
      <c r="S13" s="43" t="s">
        <v>88</v>
      </c>
    </row>
    <row r="14" spans="1:19">
      <c r="A14" s="16">
        <v>90812</v>
      </c>
      <c r="B14" s="16">
        <v>1013</v>
      </c>
      <c r="C14" s="28">
        <v>45660</v>
      </c>
      <c r="D14" s="24">
        <f t="shared" si="0"/>
        <v>6</v>
      </c>
      <c r="E14" s="13" t="s">
        <v>16</v>
      </c>
      <c r="F14" s="19">
        <v>480</v>
      </c>
      <c r="G14" s="24">
        <f t="shared" si="1"/>
        <v>5046561.6959999995</v>
      </c>
      <c r="H14" s="6">
        <v>10513.670199999999</v>
      </c>
      <c r="I14" s="25" t="s">
        <v>101</v>
      </c>
      <c r="J14" s="5" t="s">
        <v>16</v>
      </c>
      <c r="K14" s="25" t="s">
        <v>101</v>
      </c>
      <c r="L14" s="6">
        <v>10513.670199999999</v>
      </c>
      <c r="M14" s="6" t="str">
        <v>Premium</v>
      </c>
      <c r="N14" s="44" t="s">
        <v>16</v>
      </c>
      <c r="O14" s="42" t="s">
        <v>101</v>
      </c>
      <c r="P14" s="38">
        <v>10513.670199999999</v>
      </c>
      <c r="Q14" s="38" t="str">
        <v>Premium</v>
      </c>
      <c r="R14" s="43" t="s">
        <v>77</v>
      </c>
      <c r="S14" s="43" t="s">
        <v>83</v>
      </c>
    </row>
    <row r="15" spans="1:19">
      <c r="A15" s="16">
        <v>67801</v>
      </c>
      <c r="B15" s="16">
        <v>1014</v>
      </c>
      <c r="C15" s="28">
        <v>45719</v>
      </c>
      <c r="D15" s="24">
        <f t="shared" si="0"/>
        <v>2</v>
      </c>
      <c r="E15" s="12" t="s">
        <v>17</v>
      </c>
      <c r="F15" s="18">
        <v>214</v>
      </c>
      <c r="G15" s="24">
        <f t="shared" si="1"/>
        <v>1956492.1324</v>
      </c>
      <c r="H15" s="4">
        <v>9142.4866000000002</v>
      </c>
      <c r="I15" s="25" t="s">
        <v>102</v>
      </c>
      <c r="J15" s="3" t="s">
        <v>17</v>
      </c>
      <c r="K15" s="25" t="s">
        <v>102</v>
      </c>
      <c r="L15" s="4">
        <v>9142.4866000000002</v>
      </c>
      <c r="M15" s="4" t="str">
        <v>Midrange</v>
      </c>
      <c r="N15" s="41" t="s">
        <v>17</v>
      </c>
      <c r="O15" s="42" t="s">
        <v>102</v>
      </c>
      <c r="P15" s="37">
        <v>9142.4866000000002</v>
      </c>
      <c r="Q15" s="37" t="str">
        <v>Midrange</v>
      </c>
      <c r="R15" s="43" t="s">
        <v>78</v>
      </c>
      <c r="S15" s="43" t="s">
        <v>84</v>
      </c>
    </row>
    <row r="16" spans="1:19">
      <c r="A16" s="16">
        <v>32467</v>
      </c>
      <c r="B16" s="16">
        <v>1015</v>
      </c>
      <c r="C16" s="28">
        <v>45780</v>
      </c>
      <c r="D16" s="24">
        <f t="shared" si="0"/>
        <v>7</v>
      </c>
      <c r="E16" s="12" t="s">
        <v>18</v>
      </c>
      <c r="F16" s="18">
        <v>49</v>
      </c>
      <c r="G16" s="24">
        <f t="shared" si="1"/>
        <v>447981.84340000001</v>
      </c>
      <c r="H16" s="4">
        <v>9142.4866000000002</v>
      </c>
      <c r="I16" s="25" t="s">
        <v>103</v>
      </c>
      <c r="J16" s="3" t="s">
        <v>18</v>
      </c>
      <c r="K16" s="25" t="s">
        <v>103</v>
      </c>
      <c r="L16" s="4">
        <v>9142.4866000000002</v>
      </c>
      <c r="M16" s="4" t="str">
        <v>Midrange</v>
      </c>
      <c r="N16" s="41" t="s">
        <v>18</v>
      </c>
      <c r="O16" s="42" t="s">
        <v>103</v>
      </c>
      <c r="P16" s="37">
        <v>9142.4866000000002</v>
      </c>
      <c r="Q16" s="37" t="str">
        <v>Midrange</v>
      </c>
      <c r="R16" s="43" t="s">
        <v>79</v>
      </c>
      <c r="S16" s="43" t="s">
        <v>85</v>
      </c>
    </row>
    <row r="17" spans="1:19">
      <c r="A17" s="16">
        <v>12345</v>
      </c>
      <c r="B17" s="16">
        <v>1016</v>
      </c>
      <c r="C17" s="28">
        <v>45841</v>
      </c>
      <c r="D17" s="24">
        <f t="shared" si="0"/>
        <v>5</v>
      </c>
      <c r="E17" s="12" t="s">
        <v>19</v>
      </c>
      <c r="F17" s="18">
        <f>1548-1</f>
        <v>1547</v>
      </c>
      <c r="G17" s="24">
        <f t="shared" si="1"/>
        <v>21214254.8072</v>
      </c>
      <c r="H17" s="4">
        <v>13713.157599999999</v>
      </c>
      <c r="I17" s="25" t="s">
        <v>104</v>
      </c>
      <c r="J17" s="3" t="s">
        <v>19</v>
      </c>
      <c r="K17" s="25" t="s">
        <v>104</v>
      </c>
      <c r="L17" s="4">
        <v>13713.157599999999</v>
      </c>
      <c r="M17" s="4" t="str">
        <v>Premium</v>
      </c>
      <c r="N17" s="41" t="s">
        <v>19</v>
      </c>
      <c r="O17" s="42" t="s">
        <v>104</v>
      </c>
      <c r="P17" s="37">
        <v>13713.157599999999</v>
      </c>
      <c r="Q17" s="37" t="str">
        <v>Premium</v>
      </c>
      <c r="R17" s="43" t="s">
        <v>80</v>
      </c>
      <c r="S17" s="43" t="s">
        <v>86</v>
      </c>
    </row>
    <row r="18" spans="1:19">
      <c r="A18" s="16">
        <v>90876</v>
      </c>
      <c r="B18" s="16">
        <v>1017</v>
      </c>
      <c r="C18" s="28">
        <v>45903</v>
      </c>
      <c r="D18" s="24">
        <f t="shared" si="0"/>
        <v>4</v>
      </c>
      <c r="E18" s="12" t="s">
        <v>20</v>
      </c>
      <c r="F18" s="19">
        <f>219+971</f>
        <v>1190</v>
      </c>
      <c r="G18" s="24">
        <f t="shared" si="1"/>
        <v>16318657.543999998</v>
      </c>
      <c r="H18" s="4">
        <v>13713.157599999999</v>
      </c>
      <c r="I18" s="25" t="s">
        <v>105</v>
      </c>
      <c r="J18" s="3" t="s">
        <v>20</v>
      </c>
      <c r="K18" s="25" t="s">
        <v>105</v>
      </c>
      <c r="L18" s="4">
        <v>13713.157599999999</v>
      </c>
      <c r="M18" s="4" t="str">
        <v>Premium</v>
      </c>
      <c r="N18" s="41" t="s">
        <v>20</v>
      </c>
      <c r="O18" s="42" t="s">
        <v>105</v>
      </c>
      <c r="P18" s="37">
        <v>13713.157599999999</v>
      </c>
      <c r="Q18" s="37" t="str">
        <v>Premium</v>
      </c>
      <c r="R18" s="43" t="s">
        <v>81</v>
      </c>
      <c r="S18" s="43" t="s">
        <v>87</v>
      </c>
    </row>
    <row r="19" spans="1:19">
      <c r="A19" s="16">
        <v>98765</v>
      </c>
      <c r="B19" s="16">
        <v>1018</v>
      </c>
      <c r="C19" s="28">
        <v>45964</v>
      </c>
      <c r="D19" s="24">
        <f t="shared" si="0"/>
        <v>2</v>
      </c>
      <c r="E19" s="12" t="s">
        <v>21</v>
      </c>
      <c r="F19" s="18">
        <v>602</v>
      </c>
      <c r="G19" s="24">
        <f t="shared" si="1"/>
        <v>8255320.8751999987</v>
      </c>
      <c r="H19" s="4">
        <v>13713.157599999999</v>
      </c>
      <c r="I19" s="25" t="s">
        <v>106</v>
      </c>
      <c r="J19" s="3" t="s">
        <v>21</v>
      </c>
      <c r="K19" s="25" t="s">
        <v>106</v>
      </c>
      <c r="L19" s="4">
        <v>13713.157599999999</v>
      </c>
      <c r="M19" s="4" t="str">
        <v>Premium</v>
      </c>
      <c r="N19" s="41" t="s">
        <v>21</v>
      </c>
      <c r="O19" s="42" t="s">
        <v>106</v>
      </c>
      <c r="P19" s="37">
        <v>13713.157599999999</v>
      </c>
      <c r="Q19" s="37" t="str">
        <v>Premium</v>
      </c>
      <c r="R19" s="43" t="s">
        <v>82</v>
      </c>
      <c r="S19" s="43" t="s">
        <v>88</v>
      </c>
    </row>
    <row r="20" spans="1:19">
      <c r="A20" s="16">
        <v>34567</v>
      </c>
      <c r="B20" s="16">
        <v>1019</v>
      </c>
      <c r="C20" s="28">
        <v>45692</v>
      </c>
      <c r="D20" s="24">
        <f t="shared" si="0"/>
        <v>3</v>
      </c>
      <c r="E20" s="12" t="s">
        <v>22</v>
      </c>
      <c r="F20" s="19">
        <f>25+610</f>
        <v>635</v>
      </c>
      <c r="G20" s="24">
        <f t="shared" si="1"/>
        <v>9288495.1389999986</v>
      </c>
      <c r="H20" s="4">
        <v>14627.551399999998</v>
      </c>
      <c r="I20" s="25" t="s">
        <v>107</v>
      </c>
      <c r="J20" s="3" t="s">
        <v>22</v>
      </c>
      <c r="K20" s="25" t="s">
        <v>107</v>
      </c>
      <c r="L20" s="4">
        <v>14627.551399999998</v>
      </c>
      <c r="M20" s="4" t="str">
        <v>Premium</v>
      </c>
      <c r="N20" s="41" t="s">
        <v>22</v>
      </c>
      <c r="O20" s="42" t="s">
        <v>107</v>
      </c>
      <c r="P20" s="37">
        <v>14627.551399999998</v>
      </c>
      <c r="Q20" s="37" t="str">
        <v>Premium</v>
      </c>
      <c r="R20" s="43" t="s">
        <v>77</v>
      </c>
      <c r="S20" s="43" t="s">
        <v>83</v>
      </c>
    </row>
    <row r="21" spans="1:19">
      <c r="A21" s="16">
        <v>75209</v>
      </c>
      <c r="B21" s="16">
        <v>1020</v>
      </c>
      <c r="C21" s="28">
        <v>45751</v>
      </c>
      <c r="D21" s="24">
        <f t="shared" si="0"/>
        <v>6</v>
      </c>
      <c r="E21" s="12" t="s">
        <v>23</v>
      </c>
      <c r="F21" s="19">
        <f>19+300</f>
        <v>319</v>
      </c>
      <c r="G21" s="24">
        <f t="shared" si="1"/>
        <v>4666188.8965999996</v>
      </c>
      <c r="H21" s="4">
        <v>14627.551399999998</v>
      </c>
      <c r="I21" s="25" t="s">
        <v>108</v>
      </c>
      <c r="J21" s="3" t="s">
        <v>23</v>
      </c>
      <c r="K21" s="25" t="s">
        <v>108</v>
      </c>
      <c r="L21" s="4">
        <v>14627.551399999998</v>
      </c>
      <c r="M21" s="4" t="str">
        <v>Premium</v>
      </c>
      <c r="N21" s="41" t="s">
        <v>23</v>
      </c>
      <c r="O21" s="42" t="s">
        <v>108</v>
      </c>
      <c r="P21" s="37">
        <v>14627.551399999998</v>
      </c>
      <c r="Q21" s="37" t="str">
        <v>Premium</v>
      </c>
      <c r="R21" s="43" t="s">
        <v>78</v>
      </c>
      <c r="S21" s="43" t="s">
        <v>84</v>
      </c>
    </row>
    <row r="22" spans="1:19">
      <c r="A22" s="16">
        <v>24680</v>
      </c>
      <c r="B22" s="16">
        <v>1021</v>
      </c>
      <c r="C22" s="28">
        <v>45812</v>
      </c>
      <c r="D22" s="24">
        <f t="shared" si="0"/>
        <v>4</v>
      </c>
      <c r="E22" s="12" t="s">
        <v>24</v>
      </c>
      <c r="F22" s="18">
        <v>138</v>
      </c>
      <c r="G22" s="24">
        <f t="shared" si="1"/>
        <v>2207817.2879999997</v>
      </c>
      <c r="H22" s="4">
        <v>15998.675999999999</v>
      </c>
      <c r="I22" s="25" t="s">
        <v>109</v>
      </c>
      <c r="J22" s="3" t="s">
        <v>24</v>
      </c>
      <c r="K22" s="25" t="s">
        <v>109</v>
      </c>
      <c r="L22" s="4">
        <v>15998.675999999999</v>
      </c>
      <c r="M22" s="4" t="str">
        <v>Premium</v>
      </c>
      <c r="N22" s="41" t="s">
        <v>24</v>
      </c>
      <c r="O22" s="42" t="s">
        <v>109</v>
      </c>
      <c r="P22" s="37">
        <v>15998.675999999999</v>
      </c>
      <c r="Q22" s="37" t="str">
        <v>Premium</v>
      </c>
      <c r="R22" s="43" t="s">
        <v>79</v>
      </c>
      <c r="S22" s="43" t="s">
        <v>85</v>
      </c>
    </row>
    <row r="23" spans="1:19">
      <c r="A23" s="16">
        <v>13579</v>
      </c>
      <c r="B23" s="16">
        <v>1022</v>
      </c>
      <c r="C23" s="28">
        <v>45873</v>
      </c>
      <c r="D23" s="24">
        <f t="shared" si="0"/>
        <v>2</v>
      </c>
      <c r="E23" s="12" t="s">
        <v>25</v>
      </c>
      <c r="F23" s="18">
        <v>1</v>
      </c>
      <c r="G23" s="24">
        <f t="shared" si="1"/>
        <v>15998.675999999999</v>
      </c>
      <c r="H23" s="4">
        <v>15998.675999999999</v>
      </c>
      <c r="I23" s="25" t="s">
        <v>110</v>
      </c>
      <c r="J23" s="3" t="s">
        <v>25</v>
      </c>
      <c r="K23" s="25" t="s">
        <v>110</v>
      </c>
      <c r="L23" s="4">
        <v>15998.675999999999</v>
      </c>
      <c r="M23" s="4" t="str">
        <v>Premium</v>
      </c>
      <c r="N23" s="41" t="s">
        <v>25</v>
      </c>
      <c r="O23" s="42" t="s">
        <v>110</v>
      </c>
      <c r="P23" s="37">
        <v>15998.675999999999</v>
      </c>
      <c r="Q23" s="37" t="str">
        <v>Premium</v>
      </c>
      <c r="R23" s="43" t="s">
        <v>80</v>
      </c>
      <c r="S23" s="43" t="s">
        <v>86</v>
      </c>
    </row>
    <row r="24" spans="1:19">
      <c r="A24" s="16">
        <v>10203</v>
      </c>
      <c r="B24" s="16">
        <v>1023</v>
      </c>
      <c r="C24" s="28">
        <v>45934</v>
      </c>
      <c r="D24" s="24">
        <f t="shared" si="0"/>
        <v>7</v>
      </c>
      <c r="E24" s="12" t="s">
        <v>26</v>
      </c>
      <c r="F24" s="19">
        <f>153+200</f>
        <v>353</v>
      </c>
      <c r="G24" s="24">
        <f t="shared" si="1"/>
        <v>6293098.8162000002</v>
      </c>
      <c r="H24" s="4">
        <v>17827.475399999999</v>
      </c>
      <c r="I24" s="25" t="s">
        <v>111</v>
      </c>
      <c r="J24" s="3" t="s">
        <v>26</v>
      </c>
      <c r="K24" s="25" t="s">
        <v>111</v>
      </c>
      <c r="L24" s="4">
        <v>17827.475399999999</v>
      </c>
      <c r="M24" s="4" t="str">
        <v>Premium</v>
      </c>
      <c r="N24" s="41" t="s">
        <v>26</v>
      </c>
      <c r="O24" s="42" t="s">
        <v>111</v>
      </c>
      <c r="P24" s="37">
        <v>17827.475399999999</v>
      </c>
      <c r="Q24" s="37" t="str">
        <v>Premium</v>
      </c>
      <c r="R24" s="43" t="s">
        <v>81</v>
      </c>
      <c r="S24" s="43" t="s">
        <v>87</v>
      </c>
    </row>
    <row r="25" spans="1:19">
      <c r="A25" s="16">
        <v>20406</v>
      </c>
      <c r="B25" s="16">
        <v>1024</v>
      </c>
      <c r="C25" s="28">
        <v>45995</v>
      </c>
      <c r="D25" s="24">
        <f t="shared" si="0"/>
        <v>5</v>
      </c>
      <c r="E25" s="12" t="s">
        <v>27</v>
      </c>
      <c r="F25" s="18">
        <v>89</v>
      </c>
      <c r="G25" s="24">
        <f t="shared" si="1"/>
        <v>1586645.3106</v>
      </c>
      <c r="H25" s="4">
        <v>17827.475399999999</v>
      </c>
      <c r="I25" s="25" t="s">
        <v>112</v>
      </c>
      <c r="J25" s="3" t="s">
        <v>27</v>
      </c>
      <c r="K25" s="25" t="s">
        <v>112</v>
      </c>
      <c r="L25" s="4">
        <v>17827.475399999999</v>
      </c>
      <c r="M25" s="4" t="str">
        <v>Premium</v>
      </c>
      <c r="N25" s="41" t="s">
        <v>27</v>
      </c>
      <c r="O25" s="42" t="s">
        <v>112</v>
      </c>
      <c r="P25" s="37">
        <v>17827.475399999999</v>
      </c>
      <c r="Q25" s="37" t="str">
        <v>Premium</v>
      </c>
      <c r="R25" s="43" t="s">
        <v>82</v>
      </c>
      <c r="S25" s="43" t="s">
        <v>88</v>
      </c>
    </row>
    <row r="26" spans="1:19">
      <c r="A26" s="16">
        <v>87904</v>
      </c>
      <c r="B26" s="16">
        <v>1025</v>
      </c>
      <c r="C26" s="28">
        <v>45662</v>
      </c>
      <c r="D26" s="24">
        <f t="shared" si="0"/>
        <v>1</v>
      </c>
      <c r="E26" s="12" t="s">
        <v>28</v>
      </c>
      <c r="F26" s="18">
        <v>141</v>
      </c>
      <c r="G26" s="24">
        <f t="shared" si="1"/>
        <v>2513674.0313999997</v>
      </c>
      <c r="H26" s="4">
        <v>17827.475399999999</v>
      </c>
      <c r="I26" s="25" t="s">
        <v>113</v>
      </c>
      <c r="J26" s="3" t="s">
        <v>28</v>
      </c>
      <c r="K26" s="25" t="s">
        <v>113</v>
      </c>
      <c r="L26" s="4">
        <v>17827.475399999999</v>
      </c>
      <c r="M26" s="4" t="str">
        <v>Premium</v>
      </c>
      <c r="N26" s="41" t="s">
        <v>28</v>
      </c>
      <c r="O26" s="42" t="s">
        <v>113</v>
      </c>
      <c r="P26" s="37">
        <v>17827.475399999999</v>
      </c>
      <c r="Q26" s="37" t="str">
        <v>Premium</v>
      </c>
      <c r="R26" s="43" t="s">
        <v>77</v>
      </c>
      <c r="S26" s="43" t="s">
        <v>83</v>
      </c>
    </row>
    <row r="27" spans="1:19">
      <c r="A27" s="16">
        <v>67823</v>
      </c>
      <c r="B27" s="16">
        <v>1026</v>
      </c>
      <c r="C27" s="28">
        <v>45721</v>
      </c>
      <c r="D27" s="24">
        <f t="shared" si="0"/>
        <v>4</v>
      </c>
      <c r="E27" s="13" t="s">
        <v>29</v>
      </c>
      <c r="F27" s="19">
        <v>100</v>
      </c>
      <c r="G27" s="24">
        <f t="shared" si="1"/>
        <v>1919861.18</v>
      </c>
      <c r="H27" s="6">
        <v>19198.611799999999</v>
      </c>
      <c r="I27" s="25" t="s">
        <v>114</v>
      </c>
      <c r="J27" s="5" t="s">
        <v>29</v>
      </c>
      <c r="K27" s="25" t="s">
        <v>114</v>
      </c>
      <c r="L27" s="6">
        <v>19198.611799999999</v>
      </c>
      <c r="M27" s="6" t="str">
        <v>Premium</v>
      </c>
      <c r="N27" s="44" t="s">
        <v>29</v>
      </c>
      <c r="O27" s="42" t="s">
        <v>114</v>
      </c>
      <c r="P27" s="38">
        <v>19198.611799999999</v>
      </c>
      <c r="Q27" s="38" t="str">
        <v>Premium</v>
      </c>
      <c r="R27" s="43" t="s">
        <v>78</v>
      </c>
      <c r="S27" s="43" t="s">
        <v>84</v>
      </c>
    </row>
    <row r="28" spans="1:19">
      <c r="A28" s="16">
        <v>30335</v>
      </c>
      <c r="B28" s="16">
        <v>1027</v>
      </c>
      <c r="C28" s="28">
        <v>45782</v>
      </c>
      <c r="D28" s="24">
        <f t="shared" si="0"/>
        <v>2</v>
      </c>
      <c r="E28" s="12" t="s">
        <v>30</v>
      </c>
      <c r="F28" s="18">
        <v>457</v>
      </c>
      <c r="G28" s="24">
        <f t="shared" si="1"/>
        <v>9191643.5591999982</v>
      </c>
      <c r="H28" s="4">
        <v>20113.005599999997</v>
      </c>
      <c r="I28" s="25" t="s">
        <v>115</v>
      </c>
      <c r="J28" s="3" t="s">
        <v>30</v>
      </c>
      <c r="K28" s="25" t="s">
        <v>115</v>
      </c>
      <c r="L28" s="4">
        <v>20113.005599999997</v>
      </c>
      <c r="M28" s="4" t="str">
        <v>Premium</v>
      </c>
      <c r="N28" s="41" t="s">
        <v>30</v>
      </c>
      <c r="O28" s="42" t="s">
        <v>115</v>
      </c>
      <c r="P28" s="37">
        <v>20113.005599999997</v>
      </c>
      <c r="Q28" s="37" t="str">
        <v>Premium</v>
      </c>
      <c r="R28" s="43" t="s">
        <v>79</v>
      </c>
      <c r="S28" s="43" t="s">
        <v>85</v>
      </c>
    </row>
    <row r="29" spans="1:19">
      <c r="A29" s="16">
        <v>88657</v>
      </c>
      <c r="B29" s="16">
        <v>1028</v>
      </c>
      <c r="C29" s="28">
        <v>45843</v>
      </c>
      <c r="D29" s="24">
        <f t="shared" si="0"/>
        <v>7</v>
      </c>
      <c r="E29" s="12" t="s">
        <v>31</v>
      </c>
      <c r="F29" s="18">
        <v>164</v>
      </c>
      <c r="G29" s="24">
        <f t="shared" si="1"/>
        <v>3298532.9183999994</v>
      </c>
      <c r="H29" s="4">
        <v>20113.005599999997</v>
      </c>
      <c r="I29" s="25" t="s">
        <v>116</v>
      </c>
      <c r="J29" s="3" t="s">
        <v>31</v>
      </c>
      <c r="K29" s="25" t="s">
        <v>116</v>
      </c>
      <c r="L29" s="4">
        <v>20113.005599999997</v>
      </c>
      <c r="M29" s="4" t="str">
        <v>Premium</v>
      </c>
      <c r="N29" s="41" t="s">
        <v>31</v>
      </c>
      <c r="O29" s="42" t="s">
        <v>116</v>
      </c>
      <c r="P29" s="37">
        <v>20113.005599999997</v>
      </c>
      <c r="Q29" s="37" t="str">
        <v>Premium</v>
      </c>
      <c r="R29" s="43" t="s">
        <v>80</v>
      </c>
      <c r="S29" s="43" t="s">
        <v>86</v>
      </c>
    </row>
    <row r="30" spans="1:19">
      <c r="A30" s="16">
        <v>33456</v>
      </c>
      <c r="B30" s="16">
        <v>1029</v>
      </c>
      <c r="C30" s="28">
        <v>45905</v>
      </c>
      <c r="D30" s="24">
        <f t="shared" si="0"/>
        <v>6</v>
      </c>
      <c r="E30" s="12" t="s">
        <v>32</v>
      </c>
      <c r="F30" s="18">
        <v>110</v>
      </c>
      <c r="G30" s="24">
        <f t="shared" si="1"/>
        <v>2212430.6159999995</v>
      </c>
      <c r="H30" s="4">
        <v>20113.005599999997</v>
      </c>
      <c r="I30" s="25" t="s">
        <v>117</v>
      </c>
      <c r="J30" s="3" t="s">
        <v>32</v>
      </c>
      <c r="K30" s="25" t="s">
        <v>117</v>
      </c>
      <c r="L30" s="4">
        <v>20113.005599999997</v>
      </c>
      <c r="M30" s="4" t="str">
        <v>Premium</v>
      </c>
      <c r="N30" s="41" t="s">
        <v>32</v>
      </c>
      <c r="O30" s="42" t="s">
        <v>117</v>
      </c>
      <c r="P30" s="37">
        <v>20113.005599999997</v>
      </c>
      <c r="Q30" s="37" t="str">
        <v>Premium</v>
      </c>
      <c r="R30" s="43" t="s">
        <v>81</v>
      </c>
      <c r="S30" s="43" t="s">
        <v>87</v>
      </c>
    </row>
    <row r="31" spans="1:19">
      <c r="A31" s="16">
        <v>25330</v>
      </c>
      <c r="B31" s="16">
        <v>1030</v>
      </c>
      <c r="C31" s="28">
        <v>45966</v>
      </c>
      <c r="D31" s="24">
        <f t="shared" si="0"/>
        <v>4</v>
      </c>
      <c r="E31" s="12" t="s">
        <v>33</v>
      </c>
      <c r="F31" s="18">
        <v>18</v>
      </c>
      <c r="G31" s="24">
        <f t="shared" si="1"/>
        <v>362034.10079999996</v>
      </c>
      <c r="H31" s="4">
        <v>20113.005599999997</v>
      </c>
      <c r="I31" s="25" t="s">
        <v>118</v>
      </c>
      <c r="J31" s="3" t="s">
        <v>33</v>
      </c>
      <c r="K31" s="25" t="s">
        <v>118</v>
      </c>
      <c r="L31" s="4">
        <v>20113.005599999997</v>
      </c>
      <c r="M31" s="4" t="str">
        <v>Premium</v>
      </c>
      <c r="N31" s="41" t="s">
        <v>33</v>
      </c>
      <c r="O31" s="42" t="s">
        <v>118</v>
      </c>
      <c r="P31" s="37">
        <v>20113.005599999997</v>
      </c>
      <c r="Q31" s="37" t="str">
        <v>Premium</v>
      </c>
      <c r="R31" s="43" t="s">
        <v>82</v>
      </c>
      <c r="S31" s="43" t="s">
        <v>88</v>
      </c>
    </row>
    <row r="32" spans="1:19">
      <c r="A32" s="16">
        <v>45666</v>
      </c>
      <c r="B32" s="16">
        <v>1031</v>
      </c>
      <c r="C32" s="28">
        <v>45694</v>
      </c>
      <c r="D32" s="24">
        <f t="shared" si="0"/>
        <v>5</v>
      </c>
      <c r="E32" s="12" t="s">
        <v>34</v>
      </c>
      <c r="F32" s="18">
        <v>4</v>
      </c>
      <c r="G32" s="24">
        <f t="shared" si="1"/>
        <v>80452.022399999987</v>
      </c>
      <c r="H32" s="4">
        <v>20113.005599999997</v>
      </c>
      <c r="I32" s="25" t="s">
        <v>119</v>
      </c>
      <c r="J32" s="3" t="s">
        <v>34</v>
      </c>
      <c r="K32" s="25" t="s">
        <v>119</v>
      </c>
      <c r="L32" s="4">
        <v>20113.005599999997</v>
      </c>
      <c r="M32" s="4" t="str">
        <v>Premium</v>
      </c>
      <c r="N32" s="41" t="s">
        <v>34</v>
      </c>
      <c r="O32" s="42" t="s">
        <v>119</v>
      </c>
      <c r="P32" s="37">
        <v>20113.005599999997</v>
      </c>
      <c r="Q32" s="37" t="str">
        <v>Premium</v>
      </c>
      <c r="R32" s="43" t="s">
        <v>77</v>
      </c>
      <c r="S32" s="43" t="s">
        <v>83</v>
      </c>
    </row>
    <row r="33" spans="1:19">
      <c r="A33" s="16">
        <v>23443</v>
      </c>
      <c r="B33" s="16">
        <v>1032</v>
      </c>
      <c r="C33" s="28">
        <v>45753</v>
      </c>
      <c r="D33" s="24">
        <f t="shared" si="0"/>
        <v>1</v>
      </c>
      <c r="E33" s="12" t="s">
        <v>35</v>
      </c>
      <c r="F33" s="18">
        <v>69</v>
      </c>
      <c r="G33" s="24">
        <f t="shared" si="1"/>
        <v>1482470.1198</v>
      </c>
      <c r="H33" s="4">
        <v>21485.074199999999</v>
      </c>
      <c r="I33" s="25" t="s">
        <v>120</v>
      </c>
      <c r="J33" s="3" t="s">
        <v>35</v>
      </c>
      <c r="K33" s="25" t="s">
        <v>120</v>
      </c>
      <c r="L33" s="4">
        <v>21485.074199999999</v>
      </c>
      <c r="M33" s="4" t="str">
        <v>Premium</v>
      </c>
      <c r="N33" s="41" t="s">
        <v>35</v>
      </c>
      <c r="O33" s="42" t="s">
        <v>120</v>
      </c>
      <c r="P33" s="37">
        <v>21485.074199999999</v>
      </c>
      <c r="Q33" s="37" t="str">
        <v>Premium</v>
      </c>
      <c r="R33" s="43" t="s">
        <v>78</v>
      </c>
      <c r="S33" s="43" t="s">
        <v>84</v>
      </c>
    </row>
    <row r="34" spans="1:19">
      <c r="A34" s="16">
        <v>68999</v>
      </c>
      <c r="B34" s="16">
        <v>1033</v>
      </c>
      <c r="C34" s="28">
        <v>45814</v>
      </c>
      <c r="D34" s="24">
        <f t="shared" si="0"/>
        <v>6</v>
      </c>
      <c r="E34" s="12" t="s">
        <v>36</v>
      </c>
      <c r="F34" s="18">
        <v>84</v>
      </c>
      <c r="G34" s="24">
        <f t="shared" si="1"/>
        <v>2188715.3064000001</v>
      </c>
      <c r="H34" s="4">
        <v>26056.134600000001</v>
      </c>
      <c r="I34" s="25" t="s">
        <v>121</v>
      </c>
      <c r="J34" s="3" t="s">
        <v>36</v>
      </c>
      <c r="K34" s="25" t="s">
        <v>121</v>
      </c>
      <c r="L34" s="4">
        <v>26056.134600000001</v>
      </c>
      <c r="M34" s="4" t="str">
        <v>Premium</v>
      </c>
      <c r="N34" s="41" t="s">
        <v>36</v>
      </c>
      <c r="O34" s="42" t="s">
        <v>121</v>
      </c>
      <c r="P34" s="37">
        <v>26056.134600000001</v>
      </c>
      <c r="Q34" s="37" t="str">
        <v>Premium</v>
      </c>
      <c r="R34" s="43" t="s">
        <v>79</v>
      </c>
      <c r="S34" s="43" t="s">
        <v>85</v>
      </c>
    </row>
    <row r="35" spans="1:19">
      <c r="A35" s="16">
        <v>98766</v>
      </c>
      <c r="B35" s="16">
        <v>1034</v>
      </c>
      <c r="C35" s="28">
        <v>45875</v>
      </c>
      <c r="D35" s="24">
        <f t="shared" si="0"/>
        <v>4</v>
      </c>
      <c r="E35" s="12" t="s">
        <v>37</v>
      </c>
      <c r="F35" s="18">
        <v>24</v>
      </c>
      <c r="G35" s="24">
        <f t="shared" si="1"/>
        <v>658253.93760000006</v>
      </c>
      <c r="H35" s="4">
        <v>27427.2474</v>
      </c>
      <c r="I35" s="25" t="s">
        <v>122</v>
      </c>
      <c r="J35" s="3" t="s">
        <v>37</v>
      </c>
      <c r="K35" s="25" t="s">
        <v>122</v>
      </c>
      <c r="L35" s="4">
        <v>27427.2474</v>
      </c>
      <c r="M35" s="4" t="str">
        <v>Premium</v>
      </c>
      <c r="N35" s="41" t="s">
        <v>37</v>
      </c>
      <c r="O35" s="42" t="s">
        <v>122</v>
      </c>
      <c r="P35" s="37">
        <v>27427.2474</v>
      </c>
      <c r="Q35" s="37" t="str">
        <v>Premium</v>
      </c>
      <c r="R35" s="43" t="s">
        <v>80</v>
      </c>
      <c r="S35" s="43" t="s">
        <v>86</v>
      </c>
    </row>
    <row r="36" spans="1:19">
      <c r="A36" s="16">
        <v>90778</v>
      </c>
      <c r="B36" s="16">
        <v>1035</v>
      </c>
      <c r="C36" s="28">
        <v>45936</v>
      </c>
      <c r="D36" s="24">
        <f t="shared" si="0"/>
        <v>2</v>
      </c>
      <c r="E36" s="12" t="s">
        <v>38</v>
      </c>
      <c r="F36" s="18">
        <v>280</v>
      </c>
      <c r="G36" s="24">
        <f t="shared" si="1"/>
        <v>8319577.7279999992</v>
      </c>
      <c r="H36" s="4">
        <v>29712.777599999998</v>
      </c>
      <c r="I36" s="25" t="s">
        <v>123</v>
      </c>
      <c r="J36" s="3" t="s">
        <v>38</v>
      </c>
      <c r="K36" s="25" t="s">
        <v>123</v>
      </c>
      <c r="L36" s="4">
        <v>29712.777599999998</v>
      </c>
      <c r="M36" s="4" t="str">
        <v>Premium</v>
      </c>
      <c r="N36" s="41" t="s">
        <v>38</v>
      </c>
      <c r="O36" s="42" t="s">
        <v>123</v>
      </c>
      <c r="P36" s="37">
        <v>29712.777599999998</v>
      </c>
      <c r="Q36" s="37" t="str">
        <v>Premium</v>
      </c>
      <c r="R36" s="43" t="s">
        <v>81</v>
      </c>
      <c r="S36" s="43" t="s">
        <v>87</v>
      </c>
    </row>
    <row r="37" spans="1:19">
      <c r="A37" s="16">
        <v>34555</v>
      </c>
      <c r="B37" s="16">
        <v>1036</v>
      </c>
      <c r="C37" s="28">
        <v>45997</v>
      </c>
      <c r="D37" s="24">
        <f t="shared" si="0"/>
        <v>7</v>
      </c>
      <c r="E37" s="12" t="s">
        <v>39</v>
      </c>
      <c r="F37" s="18">
        <v>218</v>
      </c>
      <c r="G37" s="24">
        <f t="shared" si="1"/>
        <v>6776496.4715999998</v>
      </c>
      <c r="H37" s="4">
        <v>31084.8462</v>
      </c>
      <c r="I37" s="25" t="s">
        <v>124</v>
      </c>
      <c r="J37" s="3" t="s">
        <v>39</v>
      </c>
      <c r="K37" s="25" t="s">
        <v>124</v>
      </c>
      <c r="L37" s="4">
        <v>31084.8462</v>
      </c>
      <c r="M37" s="4" t="str">
        <v>Premium</v>
      </c>
      <c r="N37" s="41" t="s">
        <v>39</v>
      </c>
      <c r="O37" s="42" t="s">
        <v>124</v>
      </c>
      <c r="P37" s="37">
        <v>31084.8462</v>
      </c>
      <c r="Q37" s="37" t="str">
        <v>Premium</v>
      </c>
      <c r="R37" s="43" t="s">
        <v>82</v>
      </c>
      <c r="S37" s="43" t="s">
        <v>88</v>
      </c>
    </row>
    <row r="38" spans="1:19">
      <c r="A38" s="16">
        <v>33425</v>
      </c>
      <c r="B38" s="16">
        <v>1037</v>
      </c>
      <c r="C38" s="28">
        <v>45664</v>
      </c>
      <c r="D38" s="24">
        <f t="shared" si="0"/>
        <v>3</v>
      </c>
      <c r="E38" s="12" t="s">
        <v>40</v>
      </c>
      <c r="F38" s="18">
        <v>34</v>
      </c>
      <c r="G38" s="24">
        <f t="shared" si="1"/>
        <v>1056884.7708000001</v>
      </c>
      <c r="H38" s="4">
        <v>31084.8462</v>
      </c>
      <c r="I38" s="25" t="s">
        <v>125</v>
      </c>
      <c r="J38" s="3" t="s">
        <v>40</v>
      </c>
      <c r="K38" s="25" t="s">
        <v>125</v>
      </c>
      <c r="L38" s="4">
        <v>31084.8462</v>
      </c>
      <c r="M38" s="4" t="str">
        <v>Premium</v>
      </c>
      <c r="N38" s="41" t="s">
        <v>40</v>
      </c>
      <c r="O38" s="42" t="s">
        <v>125</v>
      </c>
      <c r="P38" s="37">
        <v>31084.8462</v>
      </c>
      <c r="Q38" s="37" t="str">
        <v>Premium</v>
      </c>
      <c r="R38" s="43" t="s">
        <v>77</v>
      </c>
      <c r="S38" s="43" t="s">
        <v>83</v>
      </c>
    </row>
    <row r="39" spans="1:19">
      <c r="A39" s="16">
        <v>90879</v>
      </c>
      <c r="B39" s="16">
        <v>1038</v>
      </c>
      <c r="C39" s="28">
        <v>45723</v>
      </c>
      <c r="D39" s="24">
        <f t="shared" si="0"/>
        <v>6</v>
      </c>
      <c r="E39" s="12" t="s">
        <v>41</v>
      </c>
      <c r="F39" s="18">
        <v>10</v>
      </c>
      <c r="G39" s="24">
        <f t="shared" si="1"/>
        <v>315415.77</v>
      </c>
      <c r="H39" s="4">
        <v>31541.577000000001</v>
      </c>
      <c r="I39" s="25" t="s">
        <v>126</v>
      </c>
      <c r="J39" s="3" t="s">
        <v>41</v>
      </c>
      <c r="K39" s="25" t="s">
        <v>126</v>
      </c>
      <c r="L39" s="4">
        <v>31541.577000000001</v>
      </c>
      <c r="M39" s="4" t="str">
        <v>Premium</v>
      </c>
      <c r="N39" s="41" t="s">
        <v>41</v>
      </c>
      <c r="O39" s="42" t="s">
        <v>126</v>
      </c>
      <c r="P39" s="37">
        <v>31541.577000000001</v>
      </c>
      <c r="Q39" s="37" t="str">
        <v>Premium</v>
      </c>
      <c r="R39" s="43" t="s">
        <v>78</v>
      </c>
      <c r="S39" s="43" t="s">
        <v>84</v>
      </c>
    </row>
    <row r="40" spans="1:19">
      <c r="A40" s="16">
        <v>12121</v>
      </c>
      <c r="B40" s="16">
        <v>1039</v>
      </c>
      <c r="C40" s="28">
        <v>45784</v>
      </c>
      <c r="D40" s="24">
        <f t="shared" si="0"/>
        <v>4</v>
      </c>
      <c r="E40" s="12" t="s">
        <v>42</v>
      </c>
      <c r="F40" s="18">
        <v>183</v>
      </c>
      <c r="G40" s="24">
        <f t="shared" si="1"/>
        <v>7927127.1683999998</v>
      </c>
      <c r="H40" s="4">
        <v>43317.6348</v>
      </c>
      <c r="I40" s="25" t="s">
        <v>127</v>
      </c>
      <c r="J40" s="3" t="s">
        <v>42</v>
      </c>
      <c r="K40" s="25" t="s">
        <v>127</v>
      </c>
      <c r="L40" s="4">
        <v>43317.6348</v>
      </c>
      <c r="M40" s="4" t="str">
        <v>Premium</v>
      </c>
      <c r="N40" s="41" t="s">
        <v>42</v>
      </c>
      <c r="O40" s="42" t="s">
        <v>127</v>
      </c>
      <c r="P40" s="37">
        <v>43317.6348</v>
      </c>
      <c r="Q40" s="37" t="str">
        <v>Premium</v>
      </c>
      <c r="R40" s="43" t="s">
        <v>79</v>
      </c>
      <c r="S40" s="43" t="s">
        <v>85</v>
      </c>
    </row>
    <row r="41" spans="1:19">
      <c r="A41" s="16">
        <v>23232</v>
      </c>
      <c r="B41" s="16">
        <v>1040</v>
      </c>
      <c r="C41" s="28">
        <v>45845</v>
      </c>
      <c r="D41" s="24">
        <f t="shared" si="0"/>
        <v>2</v>
      </c>
      <c r="E41" s="12" t="s">
        <v>43</v>
      </c>
      <c r="F41" s="18">
        <v>258</v>
      </c>
      <c r="G41" s="24">
        <f t="shared" si="1"/>
        <v>11175949.7784</v>
      </c>
      <c r="H41" s="4">
        <v>43317.6348</v>
      </c>
      <c r="I41" s="25" t="s">
        <v>128</v>
      </c>
      <c r="J41" s="3" t="s">
        <v>43</v>
      </c>
      <c r="K41" s="25" t="s">
        <v>128</v>
      </c>
      <c r="L41" s="4">
        <v>43317.6348</v>
      </c>
      <c r="M41" s="4" t="str">
        <v>Premium</v>
      </c>
      <c r="N41" s="41" t="s">
        <v>43</v>
      </c>
      <c r="O41" s="42" t="s">
        <v>128</v>
      </c>
      <c r="P41" s="37">
        <v>43317.6348</v>
      </c>
      <c r="Q41" s="37" t="str">
        <v>Premium</v>
      </c>
      <c r="R41" s="43" t="s">
        <v>80</v>
      </c>
      <c r="S41" s="43" t="s">
        <v>86</v>
      </c>
    </row>
    <row r="42" spans="1:19">
      <c r="A42" s="16">
        <v>45367</v>
      </c>
      <c r="B42" s="16">
        <v>1041</v>
      </c>
      <c r="C42" s="28">
        <v>45907</v>
      </c>
      <c r="D42" s="24">
        <f t="shared" si="0"/>
        <v>1</v>
      </c>
      <c r="E42" s="12" t="s">
        <v>44</v>
      </c>
      <c r="F42" s="18">
        <v>16</v>
      </c>
      <c r="G42" s="24">
        <f t="shared" si="1"/>
        <v>888957.62560000003</v>
      </c>
      <c r="H42" s="4">
        <v>55559.851600000002</v>
      </c>
      <c r="I42" s="25" t="s">
        <v>129</v>
      </c>
      <c r="J42" s="3" t="s">
        <v>44</v>
      </c>
      <c r="K42" s="25" t="s">
        <v>129</v>
      </c>
      <c r="L42" s="4">
        <v>55559.851600000002</v>
      </c>
      <c r="M42" s="4" t="str">
        <v>Premium</v>
      </c>
      <c r="N42" s="41" t="s">
        <v>44</v>
      </c>
      <c r="O42" s="42" t="s">
        <v>129</v>
      </c>
      <c r="P42" s="37">
        <v>55559.851600000002</v>
      </c>
      <c r="Q42" s="37" t="str">
        <v>Premium</v>
      </c>
      <c r="R42" s="43" t="s">
        <v>81</v>
      </c>
      <c r="S42" s="43" t="s">
        <v>87</v>
      </c>
    </row>
    <row r="43" spans="1:19">
      <c r="A43" s="16">
        <v>65789</v>
      </c>
      <c r="B43" s="16">
        <v>1042</v>
      </c>
      <c r="C43" s="28">
        <v>45968</v>
      </c>
      <c r="D43" s="24">
        <f t="shared" si="0"/>
        <v>6</v>
      </c>
      <c r="E43" s="12" t="s">
        <v>45</v>
      </c>
      <c r="F43" s="18">
        <v>14</v>
      </c>
      <c r="G43" s="24">
        <f t="shared" si="1"/>
        <v>777837.92240000004</v>
      </c>
      <c r="H43" s="4">
        <v>55559.851600000002</v>
      </c>
      <c r="I43" s="25" t="s">
        <v>130</v>
      </c>
      <c r="J43" s="3" t="s">
        <v>45</v>
      </c>
      <c r="K43" s="25" t="s">
        <v>130</v>
      </c>
      <c r="L43" s="4">
        <v>55559.851600000002</v>
      </c>
      <c r="M43" s="4" t="str">
        <v>Premium</v>
      </c>
      <c r="N43" s="41" t="s">
        <v>45</v>
      </c>
      <c r="O43" s="42" t="s">
        <v>130</v>
      </c>
      <c r="P43" s="37">
        <v>55559.851600000002</v>
      </c>
      <c r="Q43" s="37" t="str">
        <v>Premium</v>
      </c>
      <c r="R43" s="43" t="s">
        <v>82</v>
      </c>
      <c r="S43" s="43" t="s">
        <v>88</v>
      </c>
    </row>
    <row r="44" spans="1:19">
      <c r="A44" s="16">
        <v>98123</v>
      </c>
      <c r="B44" s="16">
        <v>1043</v>
      </c>
      <c r="C44" s="28">
        <v>45696</v>
      </c>
      <c r="D44" s="24">
        <f t="shared" si="0"/>
        <v>7</v>
      </c>
      <c r="E44" s="12" t="s">
        <v>46</v>
      </c>
      <c r="F44" s="18">
        <v>9</v>
      </c>
      <c r="G44" s="24">
        <f t="shared" si="1"/>
        <v>584792.31779999996</v>
      </c>
      <c r="H44" s="4">
        <v>64976.924200000001</v>
      </c>
      <c r="I44" s="25" t="s">
        <v>131</v>
      </c>
      <c r="J44" s="3" t="s">
        <v>46</v>
      </c>
      <c r="K44" s="25" t="s">
        <v>131</v>
      </c>
      <c r="L44" s="4">
        <v>64976.924200000001</v>
      </c>
      <c r="M44" s="4" t="str">
        <v>Premium</v>
      </c>
      <c r="N44" s="41" t="s">
        <v>46</v>
      </c>
      <c r="O44" s="42" t="s">
        <v>131</v>
      </c>
      <c r="P44" s="37">
        <v>64976.924200000001</v>
      </c>
      <c r="Q44" s="37" t="str">
        <v>Premium</v>
      </c>
      <c r="R44" s="43" t="s">
        <v>79</v>
      </c>
      <c r="S44" s="43" t="s">
        <v>85</v>
      </c>
    </row>
    <row r="45" spans="1:19">
      <c r="A45" s="16">
        <v>89099</v>
      </c>
      <c r="B45" s="16">
        <v>1044</v>
      </c>
      <c r="C45" s="28">
        <v>45755</v>
      </c>
      <c r="D45" s="24">
        <f t="shared" si="0"/>
        <v>3</v>
      </c>
      <c r="E45" s="12" t="s">
        <v>47</v>
      </c>
      <c r="F45" s="18">
        <v>8</v>
      </c>
      <c r="G45" s="24">
        <f t="shared" si="1"/>
        <v>542416.35840000003</v>
      </c>
      <c r="H45" s="4">
        <v>67802.044800000003</v>
      </c>
      <c r="I45" s="25" t="s">
        <v>132</v>
      </c>
      <c r="J45" s="3" t="s">
        <v>47</v>
      </c>
      <c r="K45" s="25" t="s">
        <v>132</v>
      </c>
      <c r="L45" s="4">
        <v>67802.044800000003</v>
      </c>
      <c r="M45" s="4" t="str">
        <v>Premium</v>
      </c>
      <c r="N45" s="41" t="s">
        <v>47</v>
      </c>
      <c r="O45" s="42" t="s">
        <v>132</v>
      </c>
      <c r="P45" s="37">
        <v>67802.044800000003</v>
      </c>
      <c r="Q45" s="37" t="str">
        <v>Premium</v>
      </c>
      <c r="R45" s="43" t="s">
        <v>80</v>
      </c>
      <c r="S45" s="43" t="s">
        <v>86</v>
      </c>
    </row>
    <row r="46" spans="1:19">
      <c r="A46" s="16">
        <v>32456</v>
      </c>
      <c r="B46" s="16">
        <v>1045</v>
      </c>
      <c r="C46" s="28">
        <v>45816</v>
      </c>
      <c r="D46" s="24">
        <f t="shared" si="0"/>
        <v>1</v>
      </c>
      <c r="E46" s="12" t="s">
        <v>48</v>
      </c>
      <c r="F46" s="18">
        <v>4</v>
      </c>
      <c r="G46" s="24">
        <f t="shared" si="1"/>
        <v>286275.55199999997</v>
      </c>
      <c r="H46" s="4">
        <v>71568.887999999992</v>
      </c>
      <c r="I46" s="25" t="s">
        <v>133</v>
      </c>
      <c r="J46" s="3" t="s">
        <v>48</v>
      </c>
      <c r="K46" s="25" t="s">
        <v>133</v>
      </c>
      <c r="L46" s="4">
        <v>71568.887999999992</v>
      </c>
      <c r="M46" s="4" t="str">
        <v>Premium</v>
      </c>
      <c r="N46" s="41" t="s">
        <v>48</v>
      </c>
      <c r="O46" s="42" t="s">
        <v>133</v>
      </c>
      <c r="P46" s="37">
        <v>71568.887999999992</v>
      </c>
      <c r="Q46" s="37" t="str">
        <v>Premium</v>
      </c>
      <c r="R46" s="43" t="s">
        <v>81</v>
      </c>
      <c r="S46" s="43" t="s">
        <v>87</v>
      </c>
    </row>
    <row r="47" spans="1:19">
      <c r="A47" s="16">
        <v>89705</v>
      </c>
      <c r="B47" s="16">
        <v>1046</v>
      </c>
      <c r="C47" s="28">
        <v>45877</v>
      </c>
      <c r="D47" s="24">
        <f t="shared" si="0"/>
        <v>6</v>
      </c>
      <c r="E47" s="12" t="s">
        <v>49</v>
      </c>
      <c r="F47" s="18">
        <v>7</v>
      </c>
      <c r="G47" s="24">
        <f t="shared" si="1"/>
        <v>500982.21599999996</v>
      </c>
      <c r="H47" s="4">
        <v>71568.887999999992</v>
      </c>
      <c r="I47" s="25" t="s">
        <v>134</v>
      </c>
      <c r="J47" s="3" t="s">
        <v>49</v>
      </c>
      <c r="K47" s="25" t="s">
        <v>134</v>
      </c>
      <c r="L47" s="4">
        <v>71568.887999999992</v>
      </c>
      <c r="M47" s="4" t="str">
        <v>Premium</v>
      </c>
      <c r="N47" s="41" t="s">
        <v>49</v>
      </c>
      <c r="O47" s="42" t="s">
        <v>134</v>
      </c>
      <c r="P47" s="37">
        <v>71568.887999999992</v>
      </c>
      <c r="Q47" s="37" t="str">
        <v>Premium</v>
      </c>
      <c r="R47" s="43" t="s">
        <v>82</v>
      </c>
      <c r="S47" s="43" t="s">
        <v>88</v>
      </c>
    </row>
    <row r="48" spans="1:19">
      <c r="A48" s="16">
        <v>34526</v>
      </c>
      <c r="B48" s="16">
        <v>1047</v>
      </c>
      <c r="C48" s="28">
        <v>45938</v>
      </c>
      <c r="D48" s="24">
        <f t="shared" si="0"/>
        <v>4</v>
      </c>
      <c r="E48" s="12" t="s">
        <v>50</v>
      </c>
      <c r="F48" s="18">
        <v>3</v>
      </c>
      <c r="G48" s="24">
        <f t="shared" si="1"/>
        <v>307935.75</v>
      </c>
      <c r="H48" s="4">
        <v>102645.25</v>
      </c>
      <c r="I48" s="25" t="s">
        <v>135</v>
      </c>
      <c r="J48" s="3" t="s">
        <v>50</v>
      </c>
      <c r="K48" s="25" t="s">
        <v>135</v>
      </c>
      <c r="L48" s="4">
        <v>102645.25</v>
      </c>
      <c r="M48" s="4" t="str">
        <v>Premium</v>
      </c>
      <c r="N48" s="41" t="s">
        <v>50</v>
      </c>
      <c r="O48" s="42" t="s">
        <v>135</v>
      </c>
      <c r="P48" s="37">
        <v>102645.25</v>
      </c>
      <c r="Q48" s="37" t="str">
        <v>Premium</v>
      </c>
      <c r="R48" s="43" t="s">
        <v>77</v>
      </c>
      <c r="S48" s="43" t="s">
        <v>83</v>
      </c>
    </row>
    <row r="49" spans="1:19">
      <c r="A49" s="16">
        <v>89760</v>
      </c>
      <c r="B49" s="16">
        <v>1048</v>
      </c>
      <c r="C49" s="28">
        <v>45999</v>
      </c>
      <c r="D49" s="24">
        <f t="shared" si="0"/>
        <v>2</v>
      </c>
      <c r="E49" s="12" t="s">
        <v>51</v>
      </c>
      <c r="F49" s="18">
        <f>178-60</f>
        <v>118</v>
      </c>
      <c r="G49" s="24">
        <f t="shared" si="1"/>
        <v>12112140.892399998</v>
      </c>
      <c r="H49" s="4">
        <v>102645.26179999999</v>
      </c>
      <c r="I49" s="25" t="s">
        <v>136</v>
      </c>
      <c r="J49" s="3" t="s">
        <v>51</v>
      </c>
      <c r="K49" s="25" t="s">
        <v>136</v>
      </c>
      <c r="L49" s="4">
        <v>102645.26179999999</v>
      </c>
      <c r="M49" s="4" t="str">
        <v>Premium</v>
      </c>
      <c r="N49" s="41" t="s">
        <v>51</v>
      </c>
      <c r="O49" s="42" t="s">
        <v>136</v>
      </c>
      <c r="P49" s="37">
        <v>102645.26179999999</v>
      </c>
      <c r="Q49" s="37" t="str">
        <v>Premium</v>
      </c>
      <c r="R49" s="43" t="s">
        <v>78</v>
      </c>
      <c r="S49" s="43" t="s">
        <v>84</v>
      </c>
    </row>
    <row r="50" spans="1:19">
      <c r="A50" s="16">
        <v>33455</v>
      </c>
      <c r="B50" s="16">
        <v>1049</v>
      </c>
      <c r="C50" s="28">
        <v>45666</v>
      </c>
      <c r="D50" s="24">
        <f t="shared" si="0"/>
        <v>5</v>
      </c>
      <c r="E50" s="12" t="s">
        <v>52</v>
      </c>
      <c r="F50" s="18">
        <v>44</v>
      </c>
      <c r="G50" s="24">
        <f t="shared" si="1"/>
        <v>4516391.5192</v>
      </c>
      <c r="H50" s="4">
        <v>102645.26179999999</v>
      </c>
      <c r="I50" s="25" t="s">
        <v>137</v>
      </c>
      <c r="J50" s="3" t="s">
        <v>52</v>
      </c>
      <c r="K50" s="25" t="s">
        <v>137</v>
      </c>
      <c r="L50" s="4">
        <v>102645.26179999999</v>
      </c>
      <c r="M50" s="4" t="str">
        <v>Premium</v>
      </c>
      <c r="N50" s="41" t="s">
        <v>52</v>
      </c>
      <c r="O50" s="42" t="s">
        <v>137</v>
      </c>
      <c r="P50" s="37">
        <v>102645.26179999999</v>
      </c>
      <c r="Q50" s="37" t="str">
        <v>Premium</v>
      </c>
      <c r="R50" s="43" t="s">
        <v>79</v>
      </c>
      <c r="S50" s="43" t="s">
        <v>85</v>
      </c>
    </row>
    <row r="51" spans="1:19">
      <c r="A51" s="16">
        <v>78889</v>
      </c>
      <c r="B51" s="16">
        <v>1050</v>
      </c>
      <c r="C51" s="28">
        <v>45725</v>
      </c>
      <c r="D51" s="24">
        <f t="shared" si="0"/>
        <v>1</v>
      </c>
      <c r="E51" s="12" t="s">
        <v>53</v>
      </c>
      <c r="F51" s="18">
        <f>17-3</f>
        <v>14</v>
      </c>
      <c r="G51" s="24">
        <f t="shared" si="1"/>
        <v>1437033.6651999999</v>
      </c>
      <c r="H51" s="4">
        <v>102645.26179999999</v>
      </c>
      <c r="I51" s="25" t="s">
        <v>138</v>
      </c>
      <c r="J51" s="3" t="s">
        <v>53</v>
      </c>
      <c r="K51" s="25" t="s">
        <v>138</v>
      </c>
      <c r="L51" s="4">
        <v>102645.26179999999</v>
      </c>
      <c r="M51" s="4" t="str">
        <v>Premium</v>
      </c>
      <c r="N51" s="41" t="s">
        <v>53</v>
      </c>
      <c r="O51" s="42" t="s">
        <v>138</v>
      </c>
      <c r="P51" s="37">
        <v>102645.26179999999</v>
      </c>
      <c r="Q51" s="37" t="str">
        <v>Premium</v>
      </c>
      <c r="R51" s="43" t="s">
        <v>79</v>
      </c>
      <c r="S51" s="43" t="s">
        <v>85</v>
      </c>
    </row>
    <row r="52" spans="1:19">
      <c r="A52" s="16">
        <v>96662</v>
      </c>
      <c r="B52" s="16">
        <v>1051</v>
      </c>
      <c r="C52" s="28">
        <v>45786</v>
      </c>
      <c r="D52" s="24">
        <f t="shared" si="0"/>
        <v>6</v>
      </c>
      <c r="E52" s="12" t="s">
        <v>54</v>
      </c>
      <c r="F52" s="18">
        <v>13</v>
      </c>
      <c r="G52" s="24">
        <f t="shared" si="1"/>
        <v>1444568.2601999999</v>
      </c>
      <c r="H52" s="4">
        <v>111120.6354</v>
      </c>
      <c r="I52" s="25" t="s">
        <v>139</v>
      </c>
      <c r="J52" s="3" t="s">
        <v>54</v>
      </c>
      <c r="K52" s="25" t="s">
        <v>139</v>
      </c>
      <c r="L52" s="4">
        <v>111120.6354</v>
      </c>
      <c r="M52" s="4" t="str">
        <v>Premium</v>
      </c>
      <c r="N52" s="41" t="s">
        <v>54</v>
      </c>
      <c r="O52" s="42" t="s">
        <v>139</v>
      </c>
      <c r="P52" s="37">
        <v>111120.6354</v>
      </c>
      <c r="Q52" s="37" t="str">
        <v>Premium</v>
      </c>
      <c r="R52" s="43" t="s">
        <v>80</v>
      </c>
      <c r="S52" s="43" t="s">
        <v>86</v>
      </c>
    </row>
    <row r="53" spans="1:19">
      <c r="A53" s="16">
        <v>89700</v>
      </c>
      <c r="B53" s="16">
        <v>1052</v>
      </c>
      <c r="C53" s="28">
        <v>45847</v>
      </c>
      <c r="D53" s="24">
        <f t="shared" si="0"/>
        <v>4</v>
      </c>
      <c r="E53" s="12" t="s">
        <v>55</v>
      </c>
      <c r="F53" s="18">
        <v>8</v>
      </c>
      <c r="G53" s="24">
        <f t="shared" si="1"/>
        <v>1122508.7008</v>
      </c>
      <c r="H53" s="4">
        <v>140313.5876</v>
      </c>
      <c r="I53" s="25" t="s">
        <v>140</v>
      </c>
      <c r="J53" s="3" t="s">
        <v>55</v>
      </c>
      <c r="K53" s="25" t="s">
        <v>140</v>
      </c>
      <c r="L53" s="4">
        <v>140313.5876</v>
      </c>
      <c r="M53" s="4" t="str">
        <v>Premium</v>
      </c>
      <c r="N53" s="41" t="s">
        <v>55</v>
      </c>
      <c r="O53" s="42" t="s">
        <v>140</v>
      </c>
      <c r="P53" s="37">
        <v>140313.5876</v>
      </c>
      <c r="Q53" s="37" t="str">
        <v>Premium</v>
      </c>
      <c r="R53" s="43" t="s">
        <v>81</v>
      </c>
      <c r="S53" s="43" t="s">
        <v>87</v>
      </c>
    </row>
    <row r="54" spans="1:19">
      <c r="A54" s="16">
        <v>34800</v>
      </c>
      <c r="B54" s="16">
        <v>1053</v>
      </c>
      <c r="C54" s="28">
        <v>45909</v>
      </c>
      <c r="D54" s="24">
        <f t="shared" si="0"/>
        <v>3</v>
      </c>
      <c r="E54" s="12" t="s">
        <v>56</v>
      </c>
      <c r="F54" s="18">
        <v>3</v>
      </c>
      <c r="G54" s="24">
        <f t="shared" si="1"/>
        <v>420940.76280000003</v>
      </c>
      <c r="H54" s="4">
        <v>140313.5876</v>
      </c>
      <c r="I54" s="25" t="s">
        <v>141</v>
      </c>
      <c r="J54" s="3" t="s">
        <v>56</v>
      </c>
      <c r="K54" s="25" t="s">
        <v>141</v>
      </c>
      <c r="L54" s="4">
        <v>140313.5876</v>
      </c>
      <c r="M54" s="4" t="str">
        <v>Premium</v>
      </c>
      <c r="N54" s="41" t="s">
        <v>56</v>
      </c>
      <c r="O54" s="42" t="s">
        <v>141</v>
      </c>
      <c r="P54" s="37">
        <v>140313.5876</v>
      </c>
      <c r="Q54" s="37" t="str">
        <v>Premium</v>
      </c>
      <c r="R54" s="43" t="s">
        <v>82</v>
      </c>
      <c r="S54" s="43" t="s">
        <v>88</v>
      </c>
    </row>
    <row r="55" spans="1:19">
      <c r="A55" s="16">
        <v>43678</v>
      </c>
      <c r="B55" s="16">
        <v>1054</v>
      </c>
      <c r="C55" s="28">
        <v>45970</v>
      </c>
      <c r="D55" s="24">
        <f t="shared" si="0"/>
        <v>1</v>
      </c>
      <c r="E55" s="15" t="s">
        <v>57</v>
      </c>
      <c r="F55" s="21">
        <v>143</v>
      </c>
      <c r="G55" s="24">
        <f t="shared" si="1"/>
        <v>1952497.2896</v>
      </c>
      <c r="H55" s="10">
        <v>13653.8272</v>
      </c>
      <c r="I55" s="25" t="s">
        <v>142</v>
      </c>
      <c r="J55" s="9" t="s">
        <v>57</v>
      </c>
      <c r="K55" s="25" t="s">
        <v>142</v>
      </c>
      <c r="L55" s="10">
        <v>13653.8272</v>
      </c>
      <c r="M55" s="10" t="str">
        <v>Premium</v>
      </c>
      <c r="N55" s="46" t="s">
        <v>57</v>
      </c>
      <c r="O55" s="42" t="s">
        <v>142</v>
      </c>
      <c r="P55" s="40">
        <v>13653.8272</v>
      </c>
      <c r="Q55" s="40" t="str">
        <v>Premium</v>
      </c>
      <c r="R55" s="43" t="s">
        <v>77</v>
      </c>
      <c r="S55" s="43" t="s">
        <v>83</v>
      </c>
    </row>
    <row r="56" spans="1:19">
      <c r="A56" s="16">
        <v>96678</v>
      </c>
      <c r="B56" s="16">
        <v>1055</v>
      </c>
      <c r="C56" s="28">
        <v>45698</v>
      </c>
      <c r="D56" s="24">
        <f t="shared" si="0"/>
        <v>2</v>
      </c>
      <c r="E56" s="15" t="s">
        <v>58</v>
      </c>
      <c r="F56" s="21">
        <v>1</v>
      </c>
      <c r="G56" s="24">
        <f t="shared" si="1"/>
        <v>26367.984999999997</v>
      </c>
      <c r="H56" s="10">
        <v>26367.984999999997</v>
      </c>
      <c r="I56" s="25" t="s">
        <v>143</v>
      </c>
      <c r="J56" s="9" t="s">
        <v>58</v>
      </c>
      <c r="K56" s="25" t="s">
        <v>143</v>
      </c>
      <c r="L56" s="10">
        <v>26367.984999999997</v>
      </c>
      <c r="M56" s="10" t="str">
        <v>Premium</v>
      </c>
      <c r="N56" s="46" t="s">
        <v>58</v>
      </c>
      <c r="O56" s="42" t="s">
        <v>143</v>
      </c>
      <c r="P56" s="40">
        <v>26367.984999999997</v>
      </c>
      <c r="Q56" s="40" t="str">
        <v>Premium</v>
      </c>
      <c r="R56" s="43" t="s">
        <v>78</v>
      </c>
      <c r="S56" s="43" t="s">
        <v>84</v>
      </c>
    </row>
    <row r="57" spans="1:19">
      <c r="A57" s="16">
        <v>23444</v>
      </c>
      <c r="B57" s="16">
        <v>1056</v>
      </c>
      <c r="C57" s="28">
        <v>45757</v>
      </c>
      <c r="D57" s="24">
        <f t="shared" si="0"/>
        <v>5</v>
      </c>
      <c r="E57" s="15" t="s">
        <v>59</v>
      </c>
      <c r="F57" s="21">
        <v>7</v>
      </c>
      <c r="G57" s="24">
        <f t="shared" si="1"/>
        <v>468022.42059999995</v>
      </c>
      <c r="H57" s="10">
        <v>66860.345799999996</v>
      </c>
      <c r="I57" s="25" t="s">
        <v>144</v>
      </c>
      <c r="J57" s="9" t="s">
        <v>59</v>
      </c>
      <c r="K57" s="25" t="s">
        <v>144</v>
      </c>
      <c r="L57" s="10">
        <v>66860.345799999996</v>
      </c>
      <c r="M57" s="10" t="str">
        <v>Premium</v>
      </c>
      <c r="N57" s="46" t="s">
        <v>59</v>
      </c>
      <c r="O57" s="42" t="s">
        <v>144</v>
      </c>
      <c r="P57" s="40">
        <v>66860.345799999996</v>
      </c>
      <c r="Q57" s="40" t="str">
        <v>Premium</v>
      </c>
      <c r="R57" s="43" t="s">
        <v>79</v>
      </c>
      <c r="S57" s="43" t="s">
        <v>85</v>
      </c>
    </row>
    <row r="58" spans="1:19">
      <c r="A58" s="16">
        <v>56478</v>
      </c>
      <c r="B58" s="16">
        <v>1057</v>
      </c>
      <c r="C58" s="28">
        <v>45818</v>
      </c>
      <c r="D58" s="24">
        <f t="shared" si="0"/>
        <v>3</v>
      </c>
      <c r="E58" s="15" t="s">
        <v>60</v>
      </c>
      <c r="F58" s="21">
        <v>4</v>
      </c>
      <c r="G58" s="24">
        <f t="shared" si="1"/>
        <v>267441.38319999998</v>
      </c>
      <c r="H58" s="10">
        <v>66860.345799999996</v>
      </c>
      <c r="I58" s="25" t="s">
        <v>145</v>
      </c>
      <c r="J58" s="9" t="s">
        <v>60</v>
      </c>
      <c r="K58" s="25" t="s">
        <v>145</v>
      </c>
      <c r="L58" s="10">
        <v>66860.345799999996</v>
      </c>
      <c r="M58" s="10" t="str">
        <v>Premium</v>
      </c>
      <c r="N58" s="46" t="s">
        <v>60</v>
      </c>
      <c r="O58" s="42" t="s">
        <v>145</v>
      </c>
      <c r="P58" s="40">
        <v>66860.345799999996</v>
      </c>
      <c r="Q58" s="40" t="str">
        <v>Premium</v>
      </c>
      <c r="R58" s="43" t="s">
        <v>79</v>
      </c>
      <c r="S58" s="43" t="s">
        <v>85</v>
      </c>
    </row>
    <row r="59" spans="1:19">
      <c r="A59" s="16">
        <v>90909</v>
      </c>
      <c r="B59" s="16">
        <v>1058</v>
      </c>
      <c r="C59" s="28">
        <v>45879</v>
      </c>
      <c r="D59" s="24">
        <f t="shared" si="0"/>
        <v>1</v>
      </c>
      <c r="E59" s="15" t="s">
        <v>61</v>
      </c>
      <c r="F59" s="21">
        <v>3</v>
      </c>
      <c r="G59" s="24">
        <f t="shared" si="1"/>
        <v>248608.182</v>
      </c>
      <c r="H59" s="10">
        <v>82869.394</v>
      </c>
      <c r="I59" s="25" t="s">
        <v>146</v>
      </c>
      <c r="J59" s="9" t="s">
        <v>61</v>
      </c>
      <c r="K59" s="25" t="s">
        <v>146</v>
      </c>
      <c r="L59" s="10">
        <v>82869.394</v>
      </c>
      <c r="M59" s="10" t="str">
        <v>Premium</v>
      </c>
      <c r="N59" s="46" t="s">
        <v>61</v>
      </c>
      <c r="O59" s="42" t="s">
        <v>146</v>
      </c>
      <c r="P59" s="40">
        <v>82869.394</v>
      </c>
      <c r="Q59" s="40" t="str">
        <v>Premium</v>
      </c>
      <c r="R59" s="43" t="s">
        <v>80</v>
      </c>
      <c r="S59" s="43" t="s">
        <v>86</v>
      </c>
    </row>
    <row r="60" spans="1:19">
      <c r="A60" s="16">
        <v>34590</v>
      </c>
      <c r="B60" s="16">
        <v>1059</v>
      </c>
      <c r="C60" s="28">
        <v>45940</v>
      </c>
      <c r="D60" s="24">
        <f t="shared" si="0"/>
        <v>6</v>
      </c>
      <c r="E60" s="15" t="s">
        <v>62</v>
      </c>
      <c r="F60" s="21">
        <v>5</v>
      </c>
      <c r="G60" s="24">
        <f t="shared" si="1"/>
        <v>414346.97</v>
      </c>
      <c r="H60" s="10">
        <v>82869.394</v>
      </c>
      <c r="I60" s="25" t="s">
        <v>147</v>
      </c>
      <c r="J60" s="9" t="s">
        <v>62</v>
      </c>
      <c r="K60" s="25" t="s">
        <v>147</v>
      </c>
      <c r="L60" s="10">
        <v>82869.394</v>
      </c>
      <c r="M60" s="10" t="str">
        <v>Premium</v>
      </c>
      <c r="N60" s="46" t="s">
        <v>62</v>
      </c>
      <c r="O60" s="42" t="s">
        <v>147</v>
      </c>
      <c r="P60" s="40">
        <v>82869.394</v>
      </c>
      <c r="Q60" s="40" t="str">
        <v>Premium</v>
      </c>
      <c r="R60" s="43" t="s">
        <v>81</v>
      </c>
      <c r="S60" s="43" t="s">
        <v>87</v>
      </c>
    </row>
    <row r="61" spans="1:19">
      <c r="A61" s="16">
        <v>89089</v>
      </c>
      <c r="B61" s="16">
        <v>1060</v>
      </c>
      <c r="C61" s="28">
        <v>46001</v>
      </c>
      <c r="D61" s="24">
        <f t="shared" si="0"/>
        <v>4</v>
      </c>
      <c r="E61" s="12" t="s">
        <v>63</v>
      </c>
      <c r="F61" s="18">
        <v>5</v>
      </c>
      <c r="G61" s="24">
        <f t="shared" si="1"/>
        <v>113000.28099999999</v>
      </c>
      <c r="H61" s="4">
        <v>22600.056199999999</v>
      </c>
      <c r="I61" s="25" t="s">
        <v>148</v>
      </c>
      <c r="J61" s="3" t="s">
        <v>63</v>
      </c>
      <c r="K61" s="25" t="s">
        <v>148</v>
      </c>
      <c r="L61" s="4">
        <v>22600.056199999999</v>
      </c>
      <c r="M61" s="4" t="str">
        <v>Premium</v>
      </c>
      <c r="N61" s="41" t="s">
        <v>63</v>
      </c>
      <c r="O61" s="42" t="s">
        <v>148</v>
      </c>
      <c r="P61" s="37">
        <v>22600.056199999999</v>
      </c>
      <c r="Q61" s="37" t="str">
        <v>Premium</v>
      </c>
      <c r="R61" s="43" t="s">
        <v>82</v>
      </c>
      <c r="S61" s="43" t="s">
        <v>88</v>
      </c>
    </row>
    <row r="62" spans="1:19">
      <c r="A62" s="16">
        <v>23140</v>
      </c>
      <c r="B62" s="16">
        <v>1061</v>
      </c>
      <c r="C62" s="28">
        <v>45668</v>
      </c>
      <c r="D62" s="24">
        <f t="shared" si="0"/>
        <v>7</v>
      </c>
      <c r="E62" s="12" t="s">
        <v>64</v>
      </c>
      <c r="F62" s="18">
        <v>14</v>
      </c>
      <c r="G62" s="24">
        <f t="shared" si="1"/>
        <v>316400.7868</v>
      </c>
      <c r="H62" s="4">
        <v>22600.056199999999</v>
      </c>
      <c r="I62" s="25" t="s">
        <v>149</v>
      </c>
      <c r="J62" s="3" t="s">
        <v>64</v>
      </c>
      <c r="K62" s="25" t="s">
        <v>149</v>
      </c>
      <c r="L62" s="4">
        <v>22600.056199999999</v>
      </c>
      <c r="M62" s="4" t="str">
        <v>Premium</v>
      </c>
      <c r="N62" s="41" t="s">
        <v>64</v>
      </c>
      <c r="O62" s="42" t="s">
        <v>149</v>
      </c>
      <c r="P62" s="37">
        <v>22600.056199999999</v>
      </c>
      <c r="Q62" s="37" t="str">
        <v>Premium</v>
      </c>
      <c r="R62" s="43" t="s">
        <v>77</v>
      </c>
      <c r="S62" s="43" t="s">
        <v>83</v>
      </c>
    </row>
    <row r="63" spans="1:19">
      <c r="A63" s="16">
        <v>67024</v>
      </c>
      <c r="B63" s="16">
        <v>1062</v>
      </c>
      <c r="C63" s="28">
        <v>45727</v>
      </c>
      <c r="D63" s="24">
        <f t="shared" si="0"/>
        <v>3</v>
      </c>
      <c r="E63" s="12" t="s">
        <v>65</v>
      </c>
      <c r="F63" s="18">
        <v>10</v>
      </c>
      <c r="G63" s="24">
        <f t="shared" si="1"/>
        <v>226000.56199999998</v>
      </c>
      <c r="H63" s="4">
        <v>22600.056199999999</v>
      </c>
      <c r="I63" s="25" t="s">
        <v>150</v>
      </c>
      <c r="J63" s="3" t="s">
        <v>65</v>
      </c>
      <c r="K63" s="25" t="s">
        <v>150</v>
      </c>
      <c r="L63" s="4">
        <v>22600.056199999999</v>
      </c>
      <c r="M63" s="4" t="str">
        <v>Premium</v>
      </c>
      <c r="N63" s="41" t="s">
        <v>65</v>
      </c>
      <c r="O63" s="42" t="s">
        <v>150</v>
      </c>
      <c r="P63" s="37">
        <v>22600.056199999999</v>
      </c>
      <c r="Q63" s="37" t="str">
        <v>Premium</v>
      </c>
      <c r="R63" s="43" t="s">
        <v>78</v>
      </c>
      <c r="S63" s="43" t="s">
        <v>84</v>
      </c>
    </row>
    <row r="64" spans="1:19">
      <c r="A64" s="16">
        <v>78342</v>
      </c>
      <c r="B64" s="16">
        <v>1063</v>
      </c>
      <c r="C64" s="28">
        <v>45788</v>
      </c>
      <c r="D64" s="24">
        <f t="shared" si="0"/>
        <v>1</v>
      </c>
      <c r="E64" s="12" t="s">
        <v>66</v>
      </c>
      <c r="F64" s="18">
        <v>1</v>
      </c>
      <c r="G64" s="24">
        <f t="shared" si="1"/>
        <v>27308.598399999999</v>
      </c>
      <c r="H64" s="4">
        <v>27308.598399999999</v>
      </c>
      <c r="I64" s="25" t="s">
        <v>151</v>
      </c>
      <c r="J64" s="3" t="s">
        <v>66</v>
      </c>
      <c r="K64" s="25" t="s">
        <v>151</v>
      </c>
      <c r="L64" s="4">
        <v>27308.598399999999</v>
      </c>
      <c r="M64" s="4" t="str">
        <v>Premium</v>
      </c>
      <c r="N64" s="41" t="s">
        <v>66</v>
      </c>
      <c r="O64" s="42" t="s">
        <v>151</v>
      </c>
      <c r="P64" s="37">
        <v>27308.598399999999</v>
      </c>
      <c r="Q64" s="37" t="str">
        <v>Premium</v>
      </c>
      <c r="R64" s="43" t="s">
        <v>79</v>
      </c>
      <c r="S64" s="43" t="s">
        <v>85</v>
      </c>
    </row>
    <row r="65" spans="1:19">
      <c r="A65" s="16">
        <v>65290</v>
      </c>
      <c r="B65" s="16">
        <v>1064</v>
      </c>
      <c r="C65" s="28">
        <v>45849</v>
      </c>
      <c r="D65" s="24">
        <f t="shared" si="0"/>
        <v>6</v>
      </c>
      <c r="E65" s="12" t="s">
        <v>67</v>
      </c>
      <c r="F65" s="18">
        <v>4</v>
      </c>
      <c r="G65" s="24">
        <f t="shared" si="1"/>
        <v>109234.3936</v>
      </c>
      <c r="H65" s="4">
        <v>27308.598399999999</v>
      </c>
      <c r="I65" s="25" t="s">
        <v>152</v>
      </c>
      <c r="J65" s="3" t="s">
        <v>67</v>
      </c>
      <c r="K65" s="25" t="s">
        <v>152</v>
      </c>
      <c r="L65" s="4">
        <v>27308.598399999999</v>
      </c>
      <c r="M65" s="4" t="str">
        <v>Premium</v>
      </c>
      <c r="N65" s="41" t="s">
        <v>67</v>
      </c>
      <c r="O65" s="42" t="s">
        <v>152</v>
      </c>
      <c r="P65" s="37">
        <v>27308.598399999999</v>
      </c>
      <c r="Q65" s="37" t="str">
        <v>Premium</v>
      </c>
      <c r="R65" s="43" t="s">
        <v>79</v>
      </c>
      <c r="S65" s="43" t="s">
        <v>85</v>
      </c>
    </row>
    <row r="66" spans="1:19">
      <c r="A66" s="16">
        <v>89756</v>
      </c>
      <c r="B66" s="16">
        <v>1065</v>
      </c>
      <c r="C66" s="28">
        <v>45911</v>
      </c>
      <c r="D66" s="24">
        <f t="shared" si="0"/>
        <v>5</v>
      </c>
      <c r="E66" s="12" t="s">
        <v>68</v>
      </c>
      <c r="F66" s="18">
        <v>1</v>
      </c>
      <c r="G66" s="24">
        <f t="shared" si="1"/>
        <v>30133.718999999997</v>
      </c>
      <c r="H66" s="4">
        <v>30133.718999999997</v>
      </c>
      <c r="I66" s="25" t="s">
        <v>153</v>
      </c>
      <c r="J66" s="3" t="s">
        <v>68</v>
      </c>
      <c r="K66" s="25" t="s">
        <v>153</v>
      </c>
      <c r="L66" s="4">
        <v>30133.718999999997</v>
      </c>
      <c r="M66" s="4" t="str">
        <v>Premium</v>
      </c>
      <c r="N66" s="41" t="s">
        <v>68</v>
      </c>
      <c r="O66" s="42" t="s">
        <v>153</v>
      </c>
      <c r="P66" s="37">
        <v>30133.718999999997</v>
      </c>
      <c r="Q66" s="37" t="str">
        <v>Premium</v>
      </c>
      <c r="R66" s="43" t="s">
        <v>80</v>
      </c>
      <c r="S66" s="43" t="s">
        <v>86</v>
      </c>
    </row>
    <row r="67" spans="1:19">
      <c r="A67" s="16">
        <v>45643</v>
      </c>
      <c r="B67" s="16">
        <v>1066</v>
      </c>
      <c r="C67" s="28">
        <v>45972</v>
      </c>
      <c r="D67" s="24">
        <f t="shared" ref="D67:D68" si="2">WEEKDAY(C67)</f>
        <v>3</v>
      </c>
      <c r="E67" s="12" t="s">
        <v>69</v>
      </c>
      <c r="F67" s="18">
        <v>1</v>
      </c>
      <c r="G67" s="24">
        <f t="shared" ref="G67:G68" si="3">F67*H67</f>
        <v>32958.8514</v>
      </c>
      <c r="H67" s="4">
        <v>32958.8514</v>
      </c>
      <c r="I67" s="25" t="s">
        <v>154</v>
      </c>
      <c r="J67" s="3" t="s">
        <v>69</v>
      </c>
      <c r="K67" s="25" t="s">
        <v>154</v>
      </c>
      <c r="L67" s="4">
        <v>32958.8514</v>
      </c>
      <c r="M67" s="4" t="str">
        <v>Premium</v>
      </c>
      <c r="N67" s="41" t="s">
        <v>69</v>
      </c>
      <c r="O67" s="42" t="s">
        <v>154</v>
      </c>
      <c r="P67" s="37">
        <v>32958.8514</v>
      </c>
      <c r="Q67" s="37" t="str">
        <v>Premium</v>
      </c>
      <c r="R67" s="43" t="s">
        <v>81</v>
      </c>
      <c r="S67" s="43" t="s">
        <v>87</v>
      </c>
    </row>
    <row r="68" spans="1:19">
      <c r="A68" s="16">
        <v>45673</v>
      </c>
      <c r="B68" s="16">
        <v>1067</v>
      </c>
      <c r="C68" s="28">
        <v>45700</v>
      </c>
      <c r="D68" s="24">
        <f t="shared" si="2"/>
        <v>4</v>
      </c>
      <c r="E68" s="12" t="s">
        <v>70</v>
      </c>
      <c r="F68" s="18">
        <v>3</v>
      </c>
      <c r="G68" s="24">
        <f t="shared" si="3"/>
        <v>113002.18079999999</v>
      </c>
      <c r="H68" s="4">
        <v>37667.393599999996</v>
      </c>
      <c r="I68" s="25" t="s">
        <v>155</v>
      </c>
      <c r="J68" s="3" t="s">
        <v>70</v>
      </c>
      <c r="K68" s="25" t="s">
        <v>155</v>
      </c>
      <c r="L68" s="4">
        <v>37667.393599999996</v>
      </c>
      <c r="M68" s="4" t="str">
        <v>Premium</v>
      </c>
      <c r="N68" s="41" t="s">
        <v>70</v>
      </c>
      <c r="O68" s="42" t="s">
        <v>155</v>
      </c>
      <c r="P68" s="37">
        <v>37667.393599999996</v>
      </c>
      <c r="Q68" s="37" t="str">
        <v>Premium</v>
      </c>
      <c r="R68" s="43" t="s">
        <v>82</v>
      </c>
      <c r="S68" s="43" t="s">
        <v>88</v>
      </c>
    </row>
    <row r="69" spans="1:19">
      <c r="D69" s="29"/>
    </row>
    <row r="70" spans="1:19">
      <c r="D70" s="29"/>
    </row>
    <row r="71" spans="1:19">
      <c r="D71" s="29"/>
    </row>
    <row r="72" spans="1:19">
      <c r="D72" s="29"/>
    </row>
  </sheetData>
  <phoneticPr fontId="11" type="noConversion"/>
  <conditionalFormatting sqref="L3">
    <cfRule type="top10" dxfId="2" priority="2" rank="5"/>
    <cfRule type="top10" dxfId="1" priority="3" rank="5"/>
  </conditionalFormatting>
  <conditionalFormatting sqref="G1:G68">
    <cfRule type="top10" dxfId="0" priority="1" rank="5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723F-5EB0-4E63-8907-EDCB11538CF8}">
  <dimension ref="A1:F68"/>
  <sheetViews>
    <sheetView topLeftCell="A49" workbookViewId="0">
      <selection sqref="A1:F68"/>
    </sheetView>
  </sheetViews>
  <sheetFormatPr defaultRowHeight="15"/>
  <cols>
    <col min="1" max="1" width="17.7109375" bestFit="1" customWidth="1"/>
    <col min="2" max="2" width="44.28515625" bestFit="1" customWidth="1"/>
    <col min="6" max="6" width="12.85546875" bestFit="1" customWidth="1"/>
  </cols>
  <sheetData>
    <row r="1" spans="1:6" ht="30">
      <c r="A1" s="34" t="s">
        <v>0</v>
      </c>
      <c r="B1" s="35" t="s">
        <v>1</v>
      </c>
      <c r="C1" s="36" t="s">
        <v>3</v>
      </c>
      <c r="D1" s="36" t="s">
        <v>2</v>
      </c>
      <c r="E1" s="27" t="s">
        <v>75</v>
      </c>
      <c r="F1" s="27" t="s">
        <v>76</v>
      </c>
    </row>
    <row r="2" spans="1:6">
      <c r="A2" s="41" t="s">
        <v>4</v>
      </c>
      <c r="B2" s="42" t="s">
        <v>91</v>
      </c>
      <c r="C2" s="37">
        <v>1707.7667999999999</v>
      </c>
      <c r="D2" s="37" t="str" cm="1">
        <f t="array" ref="D2:D68">IF(C2:C68&lt;10000,"Midrange","Premium")</f>
        <v>Midrange</v>
      </c>
      <c r="E2" s="43" t="s">
        <v>77</v>
      </c>
      <c r="F2" s="43" t="s">
        <v>83</v>
      </c>
    </row>
    <row r="3" spans="1:6">
      <c r="A3" s="41" t="s">
        <v>5</v>
      </c>
      <c r="B3" s="42" t="s">
        <v>92</v>
      </c>
      <c r="C3" s="37">
        <v>1707.7667999999999</v>
      </c>
      <c r="D3" s="37" t="str">
        <v>Midrange</v>
      </c>
      <c r="E3" s="43" t="s">
        <v>78</v>
      </c>
      <c r="F3" s="43" t="s">
        <v>84</v>
      </c>
    </row>
    <row r="4" spans="1:6">
      <c r="A4" s="41" t="s">
        <v>6</v>
      </c>
      <c r="B4" s="42" t="s">
        <v>89</v>
      </c>
      <c r="C4" s="37">
        <v>2091.2667999999999</v>
      </c>
      <c r="D4" s="37" t="str">
        <v>Midrange</v>
      </c>
      <c r="E4" s="43" t="s">
        <v>79</v>
      </c>
      <c r="F4" s="43" t="s">
        <v>85</v>
      </c>
    </row>
    <row r="5" spans="1:6">
      <c r="A5" s="41" t="s">
        <v>7</v>
      </c>
      <c r="B5" s="42" t="s">
        <v>90</v>
      </c>
      <c r="C5" s="37">
        <v>2091.2667999999999</v>
      </c>
      <c r="D5" s="37" t="str">
        <v>Midrange</v>
      </c>
      <c r="E5" s="43" t="s">
        <v>80</v>
      </c>
      <c r="F5" s="43" t="s">
        <v>86</v>
      </c>
    </row>
    <row r="6" spans="1:6">
      <c r="A6" s="44" t="s">
        <v>8</v>
      </c>
      <c r="B6" s="42" t="s">
        <v>93</v>
      </c>
      <c r="C6" s="38">
        <v>1247.5785999999998</v>
      </c>
      <c r="D6" s="38" t="str">
        <v>Midrange</v>
      </c>
      <c r="E6" s="43" t="s">
        <v>81</v>
      </c>
      <c r="F6" s="43" t="s">
        <v>87</v>
      </c>
    </row>
    <row r="7" spans="1:6">
      <c r="A7" s="41" t="s">
        <v>9</v>
      </c>
      <c r="B7" s="42" t="s">
        <v>94</v>
      </c>
      <c r="C7" s="37">
        <v>2091.2667999999999</v>
      </c>
      <c r="D7" s="37" t="str">
        <v>Midrange</v>
      </c>
      <c r="E7" s="43" t="s">
        <v>82</v>
      </c>
      <c r="F7" s="43" t="s">
        <v>88</v>
      </c>
    </row>
    <row r="8" spans="1:6">
      <c r="A8" s="41" t="s">
        <v>10</v>
      </c>
      <c r="B8" s="42" t="s">
        <v>95</v>
      </c>
      <c r="C8" s="37">
        <v>14263.025799999999</v>
      </c>
      <c r="D8" s="37" t="str">
        <v>Premium</v>
      </c>
      <c r="E8" s="43" t="s">
        <v>77</v>
      </c>
      <c r="F8" s="43" t="s">
        <v>83</v>
      </c>
    </row>
    <row r="9" spans="1:6">
      <c r="A9" s="41" t="s">
        <v>11</v>
      </c>
      <c r="B9" s="42" t="s">
        <v>96</v>
      </c>
      <c r="C9" s="37">
        <v>16164.890799999999</v>
      </c>
      <c r="D9" s="37" t="str">
        <v>Premium</v>
      </c>
      <c r="E9" s="43" t="s">
        <v>78</v>
      </c>
      <c r="F9" s="43" t="s">
        <v>84</v>
      </c>
    </row>
    <row r="10" spans="1:6">
      <c r="A10" s="41" t="s">
        <v>12</v>
      </c>
      <c r="B10" s="42" t="s">
        <v>97</v>
      </c>
      <c r="C10" s="37">
        <v>16164.890799999999</v>
      </c>
      <c r="D10" s="37" t="str">
        <v>Premium</v>
      </c>
      <c r="E10" s="43" t="s">
        <v>79</v>
      </c>
      <c r="F10" s="43" t="s">
        <v>85</v>
      </c>
    </row>
    <row r="11" spans="1:6">
      <c r="A11" s="41" t="s">
        <v>13</v>
      </c>
      <c r="B11" s="42" t="s">
        <v>98</v>
      </c>
      <c r="C11" s="37">
        <v>16165.7168</v>
      </c>
      <c r="D11" s="37" t="str">
        <v>Premium</v>
      </c>
      <c r="E11" s="43" t="s">
        <v>80</v>
      </c>
      <c r="F11" s="43" t="s">
        <v>86</v>
      </c>
    </row>
    <row r="12" spans="1:6">
      <c r="A12" s="41" t="s">
        <v>14</v>
      </c>
      <c r="B12" s="42" t="s">
        <v>99</v>
      </c>
      <c r="C12" s="37">
        <v>28527.007399999999</v>
      </c>
      <c r="D12" s="37" t="str">
        <v>Premium</v>
      </c>
      <c r="E12" s="43" t="s">
        <v>81</v>
      </c>
      <c r="F12" s="43" t="s">
        <v>87</v>
      </c>
    </row>
    <row r="13" spans="1:6">
      <c r="A13" s="45" t="s">
        <v>15</v>
      </c>
      <c r="B13" s="42" t="s">
        <v>100</v>
      </c>
      <c r="C13" s="39">
        <v>7313.616399999999</v>
      </c>
      <c r="D13" s="39" t="str">
        <v>Midrange</v>
      </c>
      <c r="E13" s="43" t="s">
        <v>82</v>
      </c>
      <c r="F13" s="43" t="s">
        <v>88</v>
      </c>
    </row>
    <row r="14" spans="1:6">
      <c r="A14" s="44" t="s">
        <v>16</v>
      </c>
      <c r="B14" s="42" t="s">
        <v>101</v>
      </c>
      <c r="C14" s="38">
        <v>10513.670199999999</v>
      </c>
      <c r="D14" s="38" t="str">
        <v>Premium</v>
      </c>
      <c r="E14" s="43" t="s">
        <v>77</v>
      </c>
      <c r="F14" s="43" t="s">
        <v>83</v>
      </c>
    </row>
    <row r="15" spans="1:6">
      <c r="A15" s="41" t="s">
        <v>17</v>
      </c>
      <c r="B15" s="42" t="s">
        <v>102</v>
      </c>
      <c r="C15" s="37">
        <v>9142.4866000000002</v>
      </c>
      <c r="D15" s="37" t="str">
        <v>Midrange</v>
      </c>
      <c r="E15" s="43" t="s">
        <v>78</v>
      </c>
      <c r="F15" s="43" t="s">
        <v>84</v>
      </c>
    </row>
    <row r="16" spans="1:6">
      <c r="A16" s="41" t="s">
        <v>18</v>
      </c>
      <c r="B16" s="42" t="s">
        <v>103</v>
      </c>
      <c r="C16" s="37">
        <v>9142.4866000000002</v>
      </c>
      <c r="D16" s="37" t="str">
        <v>Midrange</v>
      </c>
      <c r="E16" s="43" t="s">
        <v>79</v>
      </c>
      <c r="F16" s="43" t="s">
        <v>85</v>
      </c>
    </row>
    <row r="17" spans="1:6">
      <c r="A17" s="41" t="s">
        <v>19</v>
      </c>
      <c r="B17" s="42" t="s">
        <v>104</v>
      </c>
      <c r="C17" s="37">
        <v>13713.157599999999</v>
      </c>
      <c r="D17" s="37" t="str">
        <v>Premium</v>
      </c>
      <c r="E17" s="43" t="s">
        <v>80</v>
      </c>
      <c r="F17" s="43" t="s">
        <v>86</v>
      </c>
    </row>
    <row r="18" spans="1:6">
      <c r="A18" s="41" t="s">
        <v>20</v>
      </c>
      <c r="B18" s="42" t="s">
        <v>105</v>
      </c>
      <c r="C18" s="37">
        <v>13713.157599999999</v>
      </c>
      <c r="D18" s="37" t="str">
        <v>Premium</v>
      </c>
      <c r="E18" s="43" t="s">
        <v>81</v>
      </c>
      <c r="F18" s="43" t="s">
        <v>87</v>
      </c>
    </row>
    <row r="19" spans="1:6">
      <c r="A19" s="41" t="s">
        <v>21</v>
      </c>
      <c r="B19" s="42" t="s">
        <v>106</v>
      </c>
      <c r="C19" s="37">
        <v>13713.157599999999</v>
      </c>
      <c r="D19" s="37" t="str">
        <v>Premium</v>
      </c>
      <c r="E19" s="43" t="s">
        <v>82</v>
      </c>
      <c r="F19" s="43" t="s">
        <v>88</v>
      </c>
    </row>
    <row r="20" spans="1:6">
      <c r="A20" s="41" t="s">
        <v>22</v>
      </c>
      <c r="B20" s="42" t="s">
        <v>107</v>
      </c>
      <c r="C20" s="37">
        <v>14627.551399999998</v>
      </c>
      <c r="D20" s="37" t="str">
        <v>Premium</v>
      </c>
      <c r="E20" s="43" t="s">
        <v>77</v>
      </c>
      <c r="F20" s="43" t="s">
        <v>83</v>
      </c>
    </row>
    <row r="21" spans="1:6">
      <c r="A21" s="41" t="s">
        <v>23</v>
      </c>
      <c r="B21" s="42" t="s">
        <v>108</v>
      </c>
      <c r="C21" s="37">
        <v>14627.551399999998</v>
      </c>
      <c r="D21" s="37" t="str">
        <v>Premium</v>
      </c>
      <c r="E21" s="43" t="s">
        <v>78</v>
      </c>
      <c r="F21" s="43" t="s">
        <v>84</v>
      </c>
    </row>
    <row r="22" spans="1:6">
      <c r="A22" s="41" t="s">
        <v>24</v>
      </c>
      <c r="B22" s="42" t="s">
        <v>109</v>
      </c>
      <c r="C22" s="37">
        <v>15998.675999999999</v>
      </c>
      <c r="D22" s="37" t="str">
        <v>Premium</v>
      </c>
      <c r="E22" s="43" t="s">
        <v>79</v>
      </c>
      <c r="F22" s="43" t="s">
        <v>85</v>
      </c>
    </row>
    <row r="23" spans="1:6">
      <c r="A23" s="41" t="s">
        <v>25</v>
      </c>
      <c r="B23" s="42" t="s">
        <v>110</v>
      </c>
      <c r="C23" s="37">
        <v>15998.675999999999</v>
      </c>
      <c r="D23" s="37" t="str">
        <v>Premium</v>
      </c>
      <c r="E23" s="43" t="s">
        <v>80</v>
      </c>
      <c r="F23" s="43" t="s">
        <v>86</v>
      </c>
    </row>
    <row r="24" spans="1:6">
      <c r="A24" s="41" t="s">
        <v>26</v>
      </c>
      <c r="B24" s="42" t="s">
        <v>111</v>
      </c>
      <c r="C24" s="37">
        <v>17827.475399999999</v>
      </c>
      <c r="D24" s="37" t="str">
        <v>Premium</v>
      </c>
      <c r="E24" s="43" t="s">
        <v>81</v>
      </c>
      <c r="F24" s="43" t="s">
        <v>87</v>
      </c>
    </row>
    <row r="25" spans="1:6">
      <c r="A25" s="41" t="s">
        <v>27</v>
      </c>
      <c r="B25" s="42" t="s">
        <v>112</v>
      </c>
      <c r="C25" s="37">
        <v>17827.475399999999</v>
      </c>
      <c r="D25" s="37" t="str">
        <v>Premium</v>
      </c>
      <c r="E25" s="43" t="s">
        <v>82</v>
      </c>
      <c r="F25" s="43" t="s">
        <v>88</v>
      </c>
    </row>
    <row r="26" spans="1:6">
      <c r="A26" s="41" t="s">
        <v>28</v>
      </c>
      <c r="B26" s="42" t="s">
        <v>113</v>
      </c>
      <c r="C26" s="37">
        <v>17827.475399999999</v>
      </c>
      <c r="D26" s="37" t="str">
        <v>Premium</v>
      </c>
      <c r="E26" s="43" t="s">
        <v>77</v>
      </c>
      <c r="F26" s="43" t="s">
        <v>83</v>
      </c>
    </row>
    <row r="27" spans="1:6">
      <c r="A27" s="44" t="s">
        <v>29</v>
      </c>
      <c r="B27" s="42" t="s">
        <v>114</v>
      </c>
      <c r="C27" s="38">
        <v>19198.611799999999</v>
      </c>
      <c r="D27" s="38" t="str">
        <v>Premium</v>
      </c>
      <c r="E27" s="43" t="s">
        <v>78</v>
      </c>
      <c r="F27" s="43" t="s">
        <v>84</v>
      </c>
    </row>
    <row r="28" spans="1:6">
      <c r="A28" s="41" t="s">
        <v>30</v>
      </c>
      <c r="B28" s="42" t="s">
        <v>115</v>
      </c>
      <c r="C28" s="37">
        <v>20113.005599999997</v>
      </c>
      <c r="D28" s="37" t="str">
        <v>Premium</v>
      </c>
      <c r="E28" s="43" t="s">
        <v>79</v>
      </c>
      <c r="F28" s="43" t="s">
        <v>85</v>
      </c>
    </row>
    <row r="29" spans="1:6">
      <c r="A29" s="41" t="s">
        <v>31</v>
      </c>
      <c r="B29" s="42" t="s">
        <v>116</v>
      </c>
      <c r="C29" s="37">
        <v>20113.005599999997</v>
      </c>
      <c r="D29" s="37" t="str">
        <v>Premium</v>
      </c>
      <c r="E29" s="43" t="s">
        <v>80</v>
      </c>
      <c r="F29" s="43" t="s">
        <v>86</v>
      </c>
    </row>
    <row r="30" spans="1:6">
      <c r="A30" s="41" t="s">
        <v>32</v>
      </c>
      <c r="B30" s="42" t="s">
        <v>117</v>
      </c>
      <c r="C30" s="37">
        <v>20113.005599999997</v>
      </c>
      <c r="D30" s="37" t="str">
        <v>Premium</v>
      </c>
      <c r="E30" s="43" t="s">
        <v>81</v>
      </c>
      <c r="F30" s="43" t="s">
        <v>87</v>
      </c>
    </row>
    <row r="31" spans="1:6">
      <c r="A31" s="41" t="s">
        <v>33</v>
      </c>
      <c r="B31" s="42" t="s">
        <v>118</v>
      </c>
      <c r="C31" s="37">
        <v>20113.005599999997</v>
      </c>
      <c r="D31" s="37" t="str">
        <v>Premium</v>
      </c>
      <c r="E31" s="43" t="s">
        <v>82</v>
      </c>
      <c r="F31" s="43" t="s">
        <v>88</v>
      </c>
    </row>
    <row r="32" spans="1:6">
      <c r="A32" s="41" t="s">
        <v>34</v>
      </c>
      <c r="B32" s="42" t="s">
        <v>119</v>
      </c>
      <c r="C32" s="37">
        <v>20113.005599999997</v>
      </c>
      <c r="D32" s="37" t="str">
        <v>Premium</v>
      </c>
      <c r="E32" s="43" t="s">
        <v>77</v>
      </c>
      <c r="F32" s="43" t="s">
        <v>83</v>
      </c>
    </row>
    <row r="33" spans="1:6">
      <c r="A33" s="41" t="s">
        <v>35</v>
      </c>
      <c r="B33" s="42" t="s">
        <v>120</v>
      </c>
      <c r="C33" s="37">
        <v>21485.074199999999</v>
      </c>
      <c r="D33" s="37" t="str">
        <v>Premium</v>
      </c>
      <c r="E33" s="43" t="s">
        <v>78</v>
      </c>
      <c r="F33" s="43" t="s">
        <v>84</v>
      </c>
    </row>
    <row r="34" spans="1:6">
      <c r="A34" s="41" t="s">
        <v>36</v>
      </c>
      <c r="B34" s="42" t="s">
        <v>121</v>
      </c>
      <c r="C34" s="37">
        <v>26056.134600000001</v>
      </c>
      <c r="D34" s="37" t="str">
        <v>Premium</v>
      </c>
      <c r="E34" s="43" t="s">
        <v>79</v>
      </c>
      <c r="F34" s="43" t="s">
        <v>85</v>
      </c>
    </row>
    <row r="35" spans="1:6">
      <c r="A35" s="41" t="s">
        <v>37</v>
      </c>
      <c r="B35" s="42" t="s">
        <v>122</v>
      </c>
      <c r="C35" s="37">
        <v>27427.2474</v>
      </c>
      <c r="D35" s="37" t="str">
        <v>Premium</v>
      </c>
      <c r="E35" s="43" t="s">
        <v>80</v>
      </c>
      <c r="F35" s="43" t="s">
        <v>86</v>
      </c>
    </row>
    <row r="36" spans="1:6">
      <c r="A36" s="41" t="s">
        <v>38</v>
      </c>
      <c r="B36" s="42" t="s">
        <v>123</v>
      </c>
      <c r="C36" s="37">
        <v>29712.777599999998</v>
      </c>
      <c r="D36" s="37" t="str">
        <v>Premium</v>
      </c>
      <c r="E36" s="43" t="s">
        <v>81</v>
      </c>
      <c r="F36" s="43" t="s">
        <v>87</v>
      </c>
    </row>
    <row r="37" spans="1:6">
      <c r="A37" s="41" t="s">
        <v>39</v>
      </c>
      <c r="B37" s="42" t="s">
        <v>124</v>
      </c>
      <c r="C37" s="37">
        <v>31084.8462</v>
      </c>
      <c r="D37" s="37" t="str">
        <v>Premium</v>
      </c>
      <c r="E37" s="43" t="s">
        <v>82</v>
      </c>
      <c r="F37" s="43" t="s">
        <v>88</v>
      </c>
    </row>
    <row r="38" spans="1:6">
      <c r="A38" s="41" t="s">
        <v>40</v>
      </c>
      <c r="B38" s="42" t="s">
        <v>125</v>
      </c>
      <c r="C38" s="37">
        <v>31084.8462</v>
      </c>
      <c r="D38" s="37" t="str">
        <v>Premium</v>
      </c>
      <c r="E38" s="43" t="s">
        <v>77</v>
      </c>
      <c r="F38" s="43" t="s">
        <v>83</v>
      </c>
    </row>
    <row r="39" spans="1:6">
      <c r="A39" s="41" t="s">
        <v>41</v>
      </c>
      <c r="B39" s="42" t="s">
        <v>126</v>
      </c>
      <c r="C39" s="37">
        <v>31541.577000000001</v>
      </c>
      <c r="D39" s="37" t="str">
        <v>Premium</v>
      </c>
      <c r="E39" s="43" t="s">
        <v>78</v>
      </c>
      <c r="F39" s="43" t="s">
        <v>84</v>
      </c>
    </row>
    <row r="40" spans="1:6">
      <c r="A40" s="41" t="s">
        <v>42</v>
      </c>
      <c r="B40" s="42" t="s">
        <v>127</v>
      </c>
      <c r="C40" s="37">
        <v>43317.6348</v>
      </c>
      <c r="D40" s="37" t="str">
        <v>Premium</v>
      </c>
      <c r="E40" s="43" t="s">
        <v>79</v>
      </c>
      <c r="F40" s="43" t="s">
        <v>85</v>
      </c>
    </row>
    <row r="41" spans="1:6">
      <c r="A41" s="41" t="s">
        <v>43</v>
      </c>
      <c r="B41" s="42" t="s">
        <v>128</v>
      </c>
      <c r="C41" s="37">
        <v>43317.6348</v>
      </c>
      <c r="D41" s="37" t="str">
        <v>Premium</v>
      </c>
      <c r="E41" s="43" t="s">
        <v>80</v>
      </c>
      <c r="F41" s="43" t="s">
        <v>86</v>
      </c>
    </row>
    <row r="42" spans="1:6">
      <c r="A42" s="41" t="s">
        <v>44</v>
      </c>
      <c r="B42" s="42" t="s">
        <v>129</v>
      </c>
      <c r="C42" s="37">
        <v>55559.851600000002</v>
      </c>
      <c r="D42" s="37" t="str">
        <v>Premium</v>
      </c>
      <c r="E42" s="43" t="s">
        <v>81</v>
      </c>
      <c r="F42" s="43" t="s">
        <v>87</v>
      </c>
    </row>
    <row r="43" spans="1:6">
      <c r="A43" s="41" t="s">
        <v>45</v>
      </c>
      <c r="B43" s="42" t="s">
        <v>130</v>
      </c>
      <c r="C43" s="37">
        <v>55559.851600000002</v>
      </c>
      <c r="D43" s="37" t="str">
        <v>Premium</v>
      </c>
      <c r="E43" s="43" t="s">
        <v>82</v>
      </c>
      <c r="F43" s="43" t="s">
        <v>88</v>
      </c>
    </row>
    <row r="44" spans="1:6">
      <c r="A44" s="41" t="s">
        <v>46</v>
      </c>
      <c r="B44" s="42" t="s">
        <v>131</v>
      </c>
      <c r="C44" s="37">
        <v>64976.924200000001</v>
      </c>
      <c r="D44" s="37" t="str">
        <v>Premium</v>
      </c>
      <c r="E44" s="43" t="s">
        <v>79</v>
      </c>
      <c r="F44" s="43" t="s">
        <v>85</v>
      </c>
    </row>
    <row r="45" spans="1:6">
      <c r="A45" s="41" t="s">
        <v>47</v>
      </c>
      <c r="B45" s="42" t="s">
        <v>132</v>
      </c>
      <c r="C45" s="37">
        <v>67802.044800000003</v>
      </c>
      <c r="D45" s="37" t="str">
        <v>Premium</v>
      </c>
      <c r="E45" s="43" t="s">
        <v>80</v>
      </c>
      <c r="F45" s="43" t="s">
        <v>86</v>
      </c>
    </row>
    <row r="46" spans="1:6">
      <c r="A46" s="41" t="s">
        <v>48</v>
      </c>
      <c r="B46" s="42" t="s">
        <v>133</v>
      </c>
      <c r="C46" s="37">
        <v>71568.887999999992</v>
      </c>
      <c r="D46" s="37" t="str">
        <v>Premium</v>
      </c>
      <c r="E46" s="43" t="s">
        <v>81</v>
      </c>
      <c r="F46" s="43" t="s">
        <v>87</v>
      </c>
    </row>
    <row r="47" spans="1:6">
      <c r="A47" s="41" t="s">
        <v>49</v>
      </c>
      <c r="B47" s="42" t="s">
        <v>134</v>
      </c>
      <c r="C47" s="37">
        <v>71568.887999999992</v>
      </c>
      <c r="D47" s="37" t="str">
        <v>Premium</v>
      </c>
      <c r="E47" s="43" t="s">
        <v>82</v>
      </c>
      <c r="F47" s="43" t="s">
        <v>88</v>
      </c>
    </row>
    <row r="48" spans="1:6">
      <c r="A48" s="41" t="s">
        <v>50</v>
      </c>
      <c r="B48" s="42" t="s">
        <v>135</v>
      </c>
      <c r="C48" s="37">
        <v>102645.25</v>
      </c>
      <c r="D48" s="37" t="str">
        <v>Premium</v>
      </c>
      <c r="E48" s="43" t="s">
        <v>77</v>
      </c>
      <c r="F48" s="43" t="s">
        <v>83</v>
      </c>
    </row>
    <row r="49" spans="1:6">
      <c r="A49" s="41" t="s">
        <v>51</v>
      </c>
      <c r="B49" s="42" t="s">
        <v>136</v>
      </c>
      <c r="C49" s="37">
        <v>102645.26179999999</v>
      </c>
      <c r="D49" s="37" t="str">
        <v>Premium</v>
      </c>
      <c r="E49" s="43" t="s">
        <v>78</v>
      </c>
      <c r="F49" s="43" t="s">
        <v>84</v>
      </c>
    </row>
    <row r="50" spans="1:6">
      <c r="A50" s="41" t="s">
        <v>52</v>
      </c>
      <c r="B50" s="42" t="s">
        <v>137</v>
      </c>
      <c r="C50" s="37">
        <v>102645.26179999999</v>
      </c>
      <c r="D50" s="37" t="str">
        <v>Premium</v>
      </c>
      <c r="E50" s="43" t="s">
        <v>79</v>
      </c>
      <c r="F50" s="43" t="s">
        <v>85</v>
      </c>
    </row>
    <row r="51" spans="1:6">
      <c r="A51" s="41" t="s">
        <v>53</v>
      </c>
      <c r="B51" s="42" t="s">
        <v>138</v>
      </c>
      <c r="C51" s="37">
        <v>102645.26179999999</v>
      </c>
      <c r="D51" s="37" t="str">
        <v>Premium</v>
      </c>
      <c r="E51" s="43" t="s">
        <v>79</v>
      </c>
      <c r="F51" s="43" t="s">
        <v>85</v>
      </c>
    </row>
    <row r="52" spans="1:6">
      <c r="A52" s="41" t="s">
        <v>54</v>
      </c>
      <c r="B52" s="42" t="s">
        <v>139</v>
      </c>
      <c r="C52" s="37">
        <v>111120.6354</v>
      </c>
      <c r="D52" s="37" t="str">
        <v>Premium</v>
      </c>
      <c r="E52" s="43" t="s">
        <v>80</v>
      </c>
      <c r="F52" s="43" t="s">
        <v>86</v>
      </c>
    </row>
    <row r="53" spans="1:6">
      <c r="A53" s="41" t="s">
        <v>55</v>
      </c>
      <c r="B53" s="42" t="s">
        <v>140</v>
      </c>
      <c r="C53" s="37">
        <v>140313.5876</v>
      </c>
      <c r="D53" s="37" t="str">
        <v>Premium</v>
      </c>
      <c r="E53" s="43" t="s">
        <v>81</v>
      </c>
      <c r="F53" s="43" t="s">
        <v>87</v>
      </c>
    </row>
    <row r="54" spans="1:6">
      <c r="A54" s="41" t="s">
        <v>56</v>
      </c>
      <c r="B54" s="42" t="s">
        <v>141</v>
      </c>
      <c r="C54" s="37">
        <v>140313.5876</v>
      </c>
      <c r="D54" s="37" t="str">
        <v>Premium</v>
      </c>
      <c r="E54" s="43" t="s">
        <v>82</v>
      </c>
      <c r="F54" s="43" t="s">
        <v>88</v>
      </c>
    </row>
    <row r="55" spans="1:6">
      <c r="A55" s="46" t="s">
        <v>57</v>
      </c>
      <c r="B55" s="42" t="s">
        <v>142</v>
      </c>
      <c r="C55" s="40">
        <v>13653.8272</v>
      </c>
      <c r="D55" s="40" t="str">
        <v>Premium</v>
      </c>
      <c r="E55" s="43" t="s">
        <v>77</v>
      </c>
      <c r="F55" s="43" t="s">
        <v>83</v>
      </c>
    </row>
    <row r="56" spans="1:6">
      <c r="A56" s="46" t="s">
        <v>58</v>
      </c>
      <c r="B56" s="42" t="s">
        <v>143</v>
      </c>
      <c r="C56" s="40">
        <v>26367.984999999997</v>
      </c>
      <c r="D56" s="40" t="str">
        <v>Premium</v>
      </c>
      <c r="E56" s="43" t="s">
        <v>78</v>
      </c>
      <c r="F56" s="43" t="s">
        <v>84</v>
      </c>
    </row>
    <row r="57" spans="1:6">
      <c r="A57" s="46" t="s">
        <v>59</v>
      </c>
      <c r="B57" s="42" t="s">
        <v>144</v>
      </c>
      <c r="C57" s="40">
        <v>66860.345799999996</v>
      </c>
      <c r="D57" s="40" t="str">
        <v>Premium</v>
      </c>
      <c r="E57" s="43" t="s">
        <v>79</v>
      </c>
      <c r="F57" s="43" t="s">
        <v>85</v>
      </c>
    </row>
    <row r="58" spans="1:6">
      <c r="A58" s="46" t="s">
        <v>60</v>
      </c>
      <c r="B58" s="42" t="s">
        <v>145</v>
      </c>
      <c r="C58" s="40">
        <v>66860.345799999996</v>
      </c>
      <c r="D58" s="40" t="str">
        <v>Premium</v>
      </c>
      <c r="E58" s="43" t="s">
        <v>79</v>
      </c>
      <c r="F58" s="43" t="s">
        <v>85</v>
      </c>
    </row>
    <row r="59" spans="1:6">
      <c r="A59" s="46" t="s">
        <v>61</v>
      </c>
      <c r="B59" s="42" t="s">
        <v>146</v>
      </c>
      <c r="C59" s="40">
        <v>82869.394</v>
      </c>
      <c r="D59" s="40" t="str">
        <v>Premium</v>
      </c>
      <c r="E59" s="43" t="s">
        <v>80</v>
      </c>
      <c r="F59" s="43" t="s">
        <v>86</v>
      </c>
    </row>
    <row r="60" spans="1:6">
      <c r="A60" s="46" t="s">
        <v>62</v>
      </c>
      <c r="B60" s="42" t="s">
        <v>147</v>
      </c>
      <c r="C60" s="40">
        <v>82869.394</v>
      </c>
      <c r="D60" s="40" t="str">
        <v>Premium</v>
      </c>
      <c r="E60" s="43" t="s">
        <v>81</v>
      </c>
      <c r="F60" s="43" t="s">
        <v>87</v>
      </c>
    </row>
    <row r="61" spans="1:6">
      <c r="A61" s="41" t="s">
        <v>63</v>
      </c>
      <c r="B61" s="42" t="s">
        <v>148</v>
      </c>
      <c r="C61" s="37">
        <v>22600.056199999999</v>
      </c>
      <c r="D61" s="37" t="str">
        <v>Premium</v>
      </c>
      <c r="E61" s="43" t="s">
        <v>82</v>
      </c>
      <c r="F61" s="43" t="s">
        <v>88</v>
      </c>
    </row>
    <row r="62" spans="1:6">
      <c r="A62" s="41" t="s">
        <v>64</v>
      </c>
      <c r="B62" s="42" t="s">
        <v>149</v>
      </c>
      <c r="C62" s="37">
        <v>22600.056199999999</v>
      </c>
      <c r="D62" s="37" t="str">
        <v>Premium</v>
      </c>
      <c r="E62" s="43" t="s">
        <v>77</v>
      </c>
      <c r="F62" s="43" t="s">
        <v>83</v>
      </c>
    </row>
    <row r="63" spans="1:6">
      <c r="A63" s="41" t="s">
        <v>65</v>
      </c>
      <c r="B63" s="42" t="s">
        <v>150</v>
      </c>
      <c r="C63" s="37">
        <v>22600.056199999999</v>
      </c>
      <c r="D63" s="37" t="str">
        <v>Premium</v>
      </c>
      <c r="E63" s="43" t="s">
        <v>78</v>
      </c>
      <c r="F63" s="43" t="s">
        <v>84</v>
      </c>
    </row>
    <row r="64" spans="1:6">
      <c r="A64" s="41" t="s">
        <v>66</v>
      </c>
      <c r="B64" s="42" t="s">
        <v>151</v>
      </c>
      <c r="C64" s="37">
        <v>27308.598399999999</v>
      </c>
      <c r="D64" s="37" t="str">
        <v>Premium</v>
      </c>
      <c r="E64" s="43" t="s">
        <v>79</v>
      </c>
      <c r="F64" s="43" t="s">
        <v>85</v>
      </c>
    </row>
    <row r="65" spans="1:6">
      <c r="A65" s="41" t="s">
        <v>67</v>
      </c>
      <c r="B65" s="42" t="s">
        <v>152</v>
      </c>
      <c r="C65" s="37">
        <v>27308.598399999999</v>
      </c>
      <c r="D65" s="37" t="str">
        <v>Premium</v>
      </c>
      <c r="E65" s="43" t="s">
        <v>79</v>
      </c>
      <c r="F65" s="43" t="s">
        <v>85</v>
      </c>
    </row>
    <row r="66" spans="1:6">
      <c r="A66" s="41" t="s">
        <v>68</v>
      </c>
      <c r="B66" s="42" t="s">
        <v>153</v>
      </c>
      <c r="C66" s="37">
        <v>30133.718999999997</v>
      </c>
      <c r="D66" s="37" t="str">
        <v>Premium</v>
      </c>
      <c r="E66" s="43" t="s">
        <v>80</v>
      </c>
      <c r="F66" s="43" t="s">
        <v>86</v>
      </c>
    </row>
    <row r="67" spans="1:6">
      <c r="A67" s="41" t="s">
        <v>69</v>
      </c>
      <c r="B67" s="42" t="s">
        <v>154</v>
      </c>
      <c r="C67" s="37">
        <v>32958.8514</v>
      </c>
      <c r="D67" s="37" t="str">
        <v>Premium</v>
      </c>
      <c r="E67" s="43" t="s">
        <v>81</v>
      </c>
      <c r="F67" s="43" t="s">
        <v>87</v>
      </c>
    </row>
    <row r="68" spans="1:6">
      <c r="A68" s="41" t="s">
        <v>70</v>
      </c>
      <c r="B68" s="42" t="s">
        <v>155</v>
      </c>
      <c r="C68" s="37">
        <v>37667.393599999996</v>
      </c>
      <c r="D68" s="37" t="str">
        <v>Premium</v>
      </c>
      <c r="E68" s="43" t="s">
        <v>82</v>
      </c>
      <c r="F68" s="43" t="s">
        <v>88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469E-0690-499D-B3CC-4406F1FA652C}">
  <dimension ref="A1:D68"/>
  <sheetViews>
    <sheetView topLeftCell="A49" workbookViewId="0">
      <selection sqref="A1:D68"/>
    </sheetView>
  </sheetViews>
  <sheetFormatPr defaultRowHeight="15"/>
  <cols>
    <col min="1" max="1" width="21.28515625" customWidth="1"/>
    <col min="2" max="2" width="40.7109375" customWidth="1"/>
    <col min="3" max="3" width="9.5703125" bestFit="1" customWidth="1"/>
    <col min="4" max="4" width="9.42578125" bestFit="1" customWidth="1"/>
  </cols>
  <sheetData>
    <row r="1" spans="1:4" ht="30">
      <c r="A1" s="1" t="s">
        <v>0</v>
      </c>
      <c r="B1" s="26" t="s">
        <v>1</v>
      </c>
      <c r="C1" s="2" t="s">
        <v>3</v>
      </c>
      <c r="D1" s="2" t="s">
        <v>2</v>
      </c>
    </row>
    <row r="2" spans="1:4">
      <c r="A2" s="3" t="s">
        <v>4</v>
      </c>
      <c r="B2" s="25" t="s">
        <v>91</v>
      </c>
      <c r="C2" s="4">
        <v>1707.7667999999999</v>
      </c>
      <c r="D2" s="4" t="str" cm="1">
        <f t="array" ref="D2:D68">IF(C2:C68&lt;10000,"Midrange","Premium")</f>
        <v>Midrange</v>
      </c>
    </row>
    <row r="3" spans="1:4">
      <c r="A3" s="3" t="s">
        <v>5</v>
      </c>
      <c r="B3" s="25" t="s">
        <v>92</v>
      </c>
      <c r="C3" s="4">
        <v>1707.7667999999999</v>
      </c>
      <c r="D3" s="4" t="str">
        <v>Midrange</v>
      </c>
    </row>
    <row r="4" spans="1:4">
      <c r="A4" s="3" t="s">
        <v>6</v>
      </c>
      <c r="B4" s="25" t="s">
        <v>89</v>
      </c>
      <c r="C4" s="4">
        <v>2091.2667999999999</v>
      </c>
      <c r="D4" s="4" t="str">
        <v>Midrange</v>
      </c>
    </row>
    <row r="5" spans="1:4">
      <c r="A5" s="3" t="s">
        <v>7</v>
      </c>
      <c r="B5" s="25" t="s">
        <v>90</v>
      </c>
      <c r="C5" s="4">
        <v>2091.2667999999999</v>
      </c>
      <c r="D5" s="4" t="str">
        <v>Midrange</v>
      </c>
    </row>
    <row r="6" spans="1:4">
      <c r="A6" s="5" t="s">
        <v>8</v>
      </c>
      <c r="B6" s="25" t="s">
        <v>93</v>
      </c>
      <c r="C6" s="6">
        <v>1247.5785999999998</v>
      </c>
      <c r="D6" s="6" t="str">
        <v>Midrange</v>
      </c>
    </row>
    <row r="7" spans="1:4">
      <c r="A7" s="3" t="s">
        <v>9</v>
      </c>
      <c r="B7" s="25" t="s">
        <v>94</v>
      </c>
      <c r="C7" s="4">
        <v>2091.2667999999999</v>
      </c>
      <c r="D7" s="4" t="str">
        <v>Midrange</v>
      </c>
    </row>
    <row r="8" spans="1:4">
      <c r="A8" s="3" t="s">
        <v>10</v>
      </c>
      <c r="B8" s="25" t="s">
        <v>95</v>
      </c>
      <c r="C8" s="4">
        <v>14263.025799999999</v>
      </c>
      <c r="D8" s="4" t="str">
        <v>Premium</v>
      </c>
    </row>
    <row r="9" spans="1:4">
      <c r="A9" s="3" t="s">
        <v>11</v>
      </c>
      <c r="B9" s="25" t="s">
        <v>96</v>
      </c>
      <c r="C9" s="4">
        <v>16164.890799999999</v>
      </c>
      <c r="D9" s="4" t="str">
        <v>Premium</v>
      </c>
    </row>
    <row r="10" spans="1:4">
      <c r="A10" s="3" t="s">
        <v>12</v>
      </c>
      <c r="B10" s="25" t="s">
        <v>97</v>
      </c>
      <c r="C10" s="4">
        <v>16164.890799999999</v>
      </c>
      <c r="D10" s="4" t="str">
        <v>Premium</v>
      </c>
    </row>
    <row r="11" spans="1:4">
      <c r="A11" s="3" t="s">
        <v>13</v>
      </c>
      <c r="B11" s="25" t="s">
        <v>98</v>
      </c>
      <c r="C11" s="4">
        <v>16165.7168</v>
      </c>
      <c r="D11" s="4" t="str">
        <v>Premium</v>
      </c>
    </row>
    <row r="12" spans="1:4">
      <c r="A12" s="3" t="s">
        <v>14</v>
      </c>
      <c r="B12" s="25" t="s">
        <v>99</v>
      </c>
      <c r="C12" s="4">
        <v>28527.007399999999</v>
      </c>
      <c r="D12" s="4" t="str">
        <v>Premium</v>
      </c>
    </row>
    <row r="13" spans="1:4">
      <c r="A13" s="7" t="s">
        <v>15</v>
      </c>
      <c r="B13" s="25" t="s">
        <v>100</v>
      </c>
      <c r="C13" s="8">
        <v>7313.616399999999</v>
      </c>
      <c r="D13" s="8" t="str">
        <v>Midrange</v>
      </c>
    </row>
    <row r="14" spans="1:4">
      <c r="A14" s="5" t="s">
        <v>16</v>
      </c>
      <c r="B14" s="25" t="s">
        <v>101</v>
      </c>
      <c r="C14" s="6">
        <v>10513.670199999999</v>
      </c>
      <c r="D14" s="6" t="str">
        <v>Premium</v>
      </c>
    </row>
    <row r="15" spans="1:4">
      <c r="A15" s="3" t="s">
        <v>17</v>
      </c>
      <c r="B15" s="25" t="s">
        <v>102</v>
      </c>
      <c r="C15" s="4">
        <v>9142.4866000000002</v>
      </c>
      <c r="D15" s="4" t="str">
        <v>Midrange</v>
      </c>
    </row>
    <row r="16" spans="1:4">
      <c r="A16" s="3" t="s">
        <v>18</v>
      </c>
      <c r="B16" s="25" t="s">
        <v>103</v>
      </c>
      <c r="C16" s="4">
        <v>9142.4866000000002</v>
      </c>
      <c r="D16" s="4" t="str">
        <v>Midrange</v>
      </c>
    </row>
    <row r="17" spans="1:4">
      <c r="A17" s="3" t="s">
        <v>19</v>
      </c>
      <c r="B17" s="25" t="s">
        <v>104</v>
      </c>
      <c r="C17" s="4">
        <v>13713.157599999999</v>
      </c>
      <c r="D17" s="4" t="str">
        <v>Premium</v>
      </c>
    </row>
    <row r="18" spans="1:4">
      <c r="A18" s="3" t="s">
        <v>20</v>
      </c>
      <c r="B18" s="25" t="s">
        <v>105</v>
      </c>
      <c r="C18" s="4">
        <v>13713.157599999999</v>
      </c>
      <c r="D18" s="4" t="str">
        <v>Premium</v>
      </c>
    </row>
    <row r="19" spans="1:4">
      <c r="A19" s="3" t="s">
        <v>21</v>
      </c>
      <c r="B19" s="25" t="s">
        <v>106</v>
      </c>
      <c r="C19" s="4">
        <v>13713.157599999999</v>
      </c>
      <c r="D19" s="4" t="str">
        <v>Premium</v>
      </c>
    </row>
    <row r="20" spans="1:4">
      <c r="A20" s="3" t="s">
        <v>22</v>
      </c>
      <c r="B20" s="25" t="s">
        <v>107</v>
      </c>
      <c r="C20" s="4">
        <v>14627.551399999998</v>
      </c>
      <c r="D20" s="4" t="str">
        <v>Premium</v>
      </c>
    </row>
    <row r="21" spans="1:4">
      <c r="A21" s="3" t="s">
        <v>23</v>
      </c>
      <c r="B21" s="25" t="s">
        <v>108</v>
      </c>
      <c r="C21" s="4">
        <v>14627.551399999998</v>
      </c>
      <c r="D21" s="4" t="str">
        <v>Premium</v>
      </c>
    </row>
    <row r="22" spans="1:4">
      <c r="A22" s="3" t="s">
        <v>24</v>
      </c>
      <c r="B22" s="25" t="s">
        <v>109</v>
      </c>
      <c r="C22" s="4">
        <v>15998.675999999999</v>
      </c>
      <c r="D22" s="4" t="str">
        <v>Premium</v>
      </c>
    </row>
    <row r="23" spans="1:4">
      <c r="A23" s="3" t="s">
        <v>25</v>
      </c>
      <c r="B23" s="25" t="s">
        <v>110</v>
      </c>
      <c r="C23" s="4">
        <v>15998.675999999999</v>
      </c>
      <c r="D23" s="4" t="str">
        <v>Premium</v>
      </c>
    </row>
    <row r="24" spans="1:4">
      <c r="A24" s="3" t="s">
        <v>26</v>
      </c>
      <c r="B24" s="25" t="s">
        <v>111</v>
      </c>
      <c r="C24" s="4">
        <v>17827.475399999999</v>
      </c>
      <c r="D24" s="4" t="str">
        <v>Premium</v>
      </c>
    </row>
    <row r="25" spans="1:4">
      <c r="A25" s="3" t="s">
        <v>27</v>
      </c>
      <c r="B25" s="25" t="s">
        <v>112</v>
      </c>
      <c r="C25" s="4">
        <v>17827.475399999999</v>
      </c>
      <c r="D25" s="4" t="str">
        <v>Premium</v>
      </c>
    </row>
    <row r="26" spans="1:4">
      <c r="A26" s="3" t="s">
        <v>28</v>
      </c>
      <c r="B26" s="25" t="s">
        <v>113</v>
      </c>
      <c r="C26" s="4">
        <v>17827.475399999999</v>
      </c>
      <c r="D26" s="4" t="str">
        <v>Premium</v>
      </c>
    </row>
    <row r="27" spans="1:4">
      <c r="A27" s="5" t="s">
        <v>29</v>
      </c>
      <c r="B27" s="25" t="s">
        <v>114</v>
      </c>
      <c r="C27" s="6">
        <v>19198.611799999999</v>
      </c>
      <c r="D27" s="6" t="str">
        <v>Premium</v>
      </c>
    </row>
    <row r="28" spans="1:4">
      <c r="A28" s="3" t="s">
        <v>30</v>
      </c>
      <c r="B28" s="25" t="s">
        <v>115</v>
      </c>
      <c r="C28" s="4">
        <v>20113.005599999997</v>
      </c>
      <c r="D28" s="4" t="str">
        <v>Premium</v>
      </c>
    </row>
    <row r="29" spans="1:4">
      <c r="A29" s="3" t="s">
        <v>31</v>
      </c>
      <c r="B29" s="25" t="s">
        <v>116</v>
      </c>
      <c r="C29" s="4">
        <v>20113.005599999997</v>
      </c>
      <c r="D29" s="4" t="str">
        <v>Premium</v>
      </c>
    </row>
    <row r="30" spans="1:4">
      <c r="A30" s="3" t="s">
        <v>32</v>
      </c>
      <c r="B30" s="25" t="s">
        <v>117</v>
      </c>
      <c r="C30" s="4">
        <v>20113.005599999997</v>
      </c>
      <c r="D30" s="4" t="str">
        <v>Premium</v>
      </c>
    </row>
    <row r="31" spans="1:4">
      <c r="A31" s="3" t="s">
        <v>33</v>
      </c>
      <c r="B31" s="25" t="s">
        <v>118</v>
      </c>
      <c r="C31" s="4">
        <v>20113.005599999997</v>
      </c>
      <c r="D31" s="4" t="str">
        <v>Premium</v>
      </c>
    </row>
    <row r="32" spans="1:4">
      <c r="A32" s="3" t="s">
        <v>34</v>
      </c>
      <c r="B32" s="25" t="s">
        <v>119</v>
      </c>
      <c r="C32" s="4">
        <v>20113.005599999997</v>
      </c>
      <c r="D32" s="4" t="str">
        <v>Premium</v>
      </c>
    </row>
    <row r="33" spans="1:4">
      <c r="A33" s="3" t="s">
        <v>35</v>
      </c>
      <c r="B33" s="25" t="s">
        <v>120</v>
      </c>
      <c r="C33" s="4">
        <v>21485.074199999999</v>
      </c>
      <c r="D33" s="4" t="str">
        <v>Premium</v>
      </c>
    </row>
    <row r="34" spans="1:4">
      <c r="A34" s="3" t="s">
        <v>36</v>
      </c>
      <c r="B34" s="25" t="s">
        <v>121</v>
      </c>
      <c r="C34" s="4">
        <v>26056.134600000001</v>
      </c>
      <c r="D34" s="4" t="str">
        <v>Premium</v>
      </c>
    </row>
    <row r="35" spans="1:4">
      <c r="A35" s="3" t="s">
        <v>37</v>
      </c>
      <c r="B35" s="25" t="s">
        <v>122</v>
      </c>
      <c r="C35" s="4">
        <v>27427.2474</v>
      </c>
      <c r="D35" s="4" t="str">
        <v>Premium</v>
      </c>
    </row>
    <row r="36" spans="1:4">
      <c r="A36" s="3" t="s">
        <v>38</v>
      </c>
      <c r="B36" s="25" t="s">
        <v>123</v>
      </c>
      <c r="C36" s="4">
        <v>29712.777599999998</v>
      </c>
      <c r="D36" s="4" t="str">
        <v>Premium</v>
      </c>
    </row>
    <row r="37" spans="1:4">
      <c r="A37" s="3" t="s">
        <v>39</v>
      </c>
      <c r="B37" s="25" t="s">
        <v>124</v>
      </c>
      <c r="C37" s="4">
        <v>31084.8462</v>
      </c>
      <c r="D37" s="4" t="str">
        <v>Premium</v>
      </c>
    </row>
    <row r="38" spans="1:4">
      <c r="A38" s="3" t="s">
        <v>40</v>
      </c>
      <c r="B38" s="25" t="s">
        <v>125</v>
      </c>
      <c r="C38" s="4">
        <v>31084.8462</v>
      </c>
      <c r="D38" s="4" t="str">
        <v>Premium</v>
      </c>
    </row>
    <row r="39" spans="1:4">
      <c r="A39" s="3" t="s">
        <v>41</v>
      </c>
      <c r="B39" s="25" t="s">
        <v>126</v>
      </c>
      <c r="C39" s="4">
        <v>31541.577000000001</v>
      </c>
      <c r="D39" s="4" t="str">
        <v>Premium</v>
      </c>
    </row>
    <row r="40" spans="1:4">
      <c r="A40" s="3" t="s">
        <v>42</v>
      </c>
      <c r="B40" s="25" t="s">
        <v>127</v>
      </c>
      <c r="C40" s="4">
        <v>43317.6348</v>
      </c>
      <c r="D40" s="4" t="str">
        <v>Premium</v>
      </c>
    </row>
    <row r="41" spans="1:4">
      <c r="A41" s="3" t="s">
        <v>43</v>
      </c>
      <c r="B41" s="25" t="s">
        <v>128</v>
      </c>
      <c r="C41" s="4">
        <v>43317.6348</v>
      </c>
      <c r="D41" s="4" t="str">
        <v>Premium</v>
      </c>
    </row>
    <row r="42" spans="1:4">
      <c r="A42" s="3" t="s">
        <v>44</v>
      </c>
      <c r="B42" s="25" t="s">
        <v>129</v>
      </c>
      <c r="C42" s="4">
        <v>55559.851600000002</v>
      </c>
      <c r="D42" s="4" t="str">
        <v>Premium</v>
      </c>
    </row>
    <row r="43" spans="1:4">
      <c r="A43" s="3" t="s">
        <v>45</v>
      </c>
      <c r="B43" s="25" t="s">
        <v>130</v>
      </c>
      <c r="C43" s="4">
        <v>55559.851600000002</v>
      </c>
      <c r="D43" s="4" t="str">
        <v>Premium</v>
      </c>
    </row>
    <row r="44" spans="1:4">
      <c r="A44" s="3" t="s">
        <v>46</v>
      </c>
      <c r="B44" s="25" t="s">
        <v>131</v>
      </c>
      <c r="C44" s="4">
        <v>64976.924200000001</v>
      </c>
      <c r="D44" s="4" t="str">
        <v>Premium</v>
      </c>
    </row>
    <row r="45" spans="1:4">
      <c r="A45" s="3" t="s">
        <v>47</v>
      </c>
      <c r="B45" s="25" t="s">
        <v>132</v>
      </c>
      <c r="C45" s="4">
        <v>67802.044800000003</v>
      </c>
      <c r="D45" s="4" t="str">
        <v>Premium</v>
      </c>
    </row>
    <row r="46" spans="1:4">
      <c r="A46" s="3" t="s">
        <v>48</v>
      </c>
      <c r="B46" s="25" t="s">
        <v>133</v>
      </c>
      <c r="C46" s="4">
        <v>71568.887999999992</v>
      </c>
      <c r="D46" s="4" t="str">
        <v>Premium</v>
      </c>
    </row>
    <row r="47" spans="1:4">
      <c r="A47" s="3" t="s">
        <v>49</v>
      </c>
      <c r="B47" s="25" t="s">
        <v>134</v>
      </c>
      <c r="C47" s="4">
        <v>71568.887999999992</v>
      </c>
      <c r="D47" s="4" t="str">
        <v>Premium</v>
      </c>
    </row>
    <row r="48" spans="1:4">
      <c r="A48" s="3" t="s">
        <v>50</v>
      </c>
      <c r="B48" s="25" t="s">
        <v>135</v>
      </c>
      <c r="C48" s="4">
        <v>102645.25</v>
      </c>
      <c r="D48" s="4" t="str">
        <v>Premium</v>
      </c>
    </row>
    <row r="49" spans="1:4">
      <c r="A49" s="3" t="s">
        <v>51</v>
      </c>
      <c r="B49" s="25" t="s">
        <v>136</v>
      </c>
      <c r="C49" s="4">
        <v>102645.26179999999</v>
      </c>
      <c r="D49" s="4" t="str">
        <v>Premium</v>
      </c>
    </row>
    <row r="50" spans="1:4">
      <c r="A50" s="3" t="s">
        <v>52</v>
      </c>
      <c r="B50" s="25" t="s">
        <v>137</v>
      </c>
      <c r="C50" s="4">
        <v>102645.26179999999</v>
      </c>
      <c r="D50" s="4" t="str">
        <v>Premium</v>
      </c>
    </row>
    <row r="51" spans="1:4">
      <c r="A51" s="3" t="s">
        <v>53</v>
      </c>
      <c r="B51" s="25" t="s">
        <v>138</v>
      </c>
      <c r="C51" s="4">
        <v>102645.26179999999</v>
      </c>
      <c r="D51" s="4" t="str">
        <v>Premium</v>
      </c>
    </row>
    <row r="52" spans="1:4">
      <c r="A52" s="3" t="s">
        <v>54</v>
      </c>
      <c r="B52" s="25" t="s">
        <v>139</v>
      </c>
      <c r="C52" s="4">
        <v>111120.6354</v>
      </c>
      <c r="D52" s="4" t="str">
        <v>Premium</v>
      </c>
    </row>
    <row r="53" spans="1:4">
      <c r="A53" s="3" t="s">
        <v>55</v>
      </c>
      <c r="B53" s="25" t="s">
        <v>140</v>
      </c>
      <c r="C53" s="4">
        <v>140313.5876</v>
      </c>
      <c r="D53" s="4" t="str">
        <v>Premium</v>
      </c>
    </row>
    <row r="54" spans="1:4">
      <c r="A54" s="3" t="s">
        <v>56</v>
      </c>
      <c r="B54" s="25" t="s">
        <v>141</v>
      </c>
      <c r="C54" s="4">
        <v>140313.5876</v>
      </c>
      <c r="D54" s="4" t="str">
        <v>Premium</v>
      </c>
    </row>
    <row r="55" spans="1:4">
      <c r="A55" s="9" t="s">
        <v>57</v>
      </c>
      <c r="B55" s="25" t="s">
        <v>142</v>
      </c>
      <c r="C55" s="10">
        <v>13653.8272</v>
      </c>
      <c r="D55" s="10" t="str">
        <v>Premium</v>
      </c>
    </row>
    <row r="56" spans="1:4">
      <c r="A56" s="9" t="s">
        <v>58</v>
      </c>
      <c r="B56" s="25" t="s">
        <v>143</v>
      </c>
      <c r="C56" s="10">
        <v>26367.984999999997</v>
      </c>
      <c r="D56" s="10" t="str">
        <v>Premium</v>
      </c>
    </row>
    <row r="57" spans="1:4">
      <c r="A57" s="9" t="s">
        <v>59</v>
      </c>
      <c r="B57" s="25" t="s">
        <v>144</v>
      </c>
      <c r="C57" s="10">
        <v>66860.345799999996</v>
      </c>
      <c r="D57" s="10" t="str">
        <v>Premium</v>
      </c>
    </row>
    <row r="58" spans="1:4">
      <c r="A58" s="9" t="s">
        <v>60</v>
      </c>
      <c r="B58" s="25" t="s">
        <v>145</v>
      </c>
      <c r="C58" s="10">
        <v>66860.345799999996</v>
      </c>
      <c r="D58" s="10" t="str">
        <v>Premium</v>
      </c>
    </row>
    <row r="59" spans="1:4">
      <c r="A59" s="9" t="s">
        <v>61</v>
      </c>
      <c r="B59" s="25" t="s">
        <v>146</v>
      </c>
      <c r="C59" s="10">
        <v>82869.394</v>
      </c>
      <c r="D59" s="10" t="str">
        <v>Premium</v>
      </c>
    </row>
    <row r="60" spans="1:4">
      <c r="A60" s="9" t="s">
        <v>62</v>
      </c>
      <c r="B60" s="25" t="s">
        <v>147</v>
      </c>
      <c r="C60" s="10">
        <v>82869.394</v>
      </c>
      <c r="D60" s="10" t="str">
        <v>Premium</v>
      </c>
    </row>
    <row r="61" spans="1:4">
      <c r="A61" s="3" t="s">
        <v>63</v>
      </c>
      <c r="B61" s="25" t="s">
        <v>148</v>
      </c>
      <c r="C61" s="4">
        <v>22600.056199999999</v>
      </c>
      <c r="D61" s="4" t="str">
        <v>Premium</v>
      </c>
    </row>
    <row r="62" spans="1:4">
      <c r="A62" s="3" t="s">
        <v>64</v>
      </c>
      <c r="B62" s="25" t="s">
        <v>149</v>
      </c>
      <c r="C62" s="4">
        <v>22600.056199999999</v>
      </c>
      <c r="D62" s="4" t="str">
        <v>Premium</v>
      </c>
    </row>
    <row r="63" spans="1:4">
      <c r="A63" s="3" t="s">
        <v>65</v>
      </c>
      <c r="B63" s="25" t="s">
        <v>150</v>
      </c>
      <c r="C63" s="4">
        <v>22600.056199999999</v>
      </c>
      <c r="D63" s="4" t="str">
        <v>Premium</v>
      </c>
    </row>
    <row r="64" spans="1:4">
      <c r="A64" s="3" t="s">
        <v>66</v>
      </c>
      <c r="B64" s="25" t="s">
        <v>151</v>
      </c>
      <c r="C64" s="4">
        <v>27308.598399999999</v>
      </c>
      <c r="D64" s="4" t="str">
        <v>Premium</v>
      </c>
    </row>
    <row r="65" spans="1:4">
      <c r="A65" s="3" t="s">
        <v>67</v>
      </c>
      <c r="B65" s="25" t="s">
        <v>152</v>
      </c>
      <c r="C65" s="4">
        <v>27308.598399999999</v>
      </c>
      <c r="D65" s="4" t="str">
        <v>Premium</v>
      </c>
    </row>
    <row r="66" spans="1:4">
      <c r="A66" s="3" t="s">
        <v>68</v>
      </c>
      <c r="B66" s="25" t="s">
        <v>153</v>
      </c>
      <c r="C66" s="4">
        <v>30133.718999999997</v>
      </c>
      <c r="D66" s="4" t="str">
        <v>Premium</v>
      </c>
    </row>
    <row r="67" spans="1:4">
      <c r="A67" s="3" t="s">
        <v>69</v>
      </c>
      <c r="B67" s="25" t="s">
        <v>154</v>
      </c>
      <c r="C67" s="4">
        <v>32958.8514</v>
      </c>
      <c r="D67" s="4" t="str">
        <v>Premium</v>
      </c>
    </row>
    <row r="68" spans="1:4">
      <c r="A68" s="3" t="s">
        <v>70</v>
      </c>
      <c r="B68" s="25" t="s">
        <v>155</v>
      </c>
      <c r="C68" s="4">
        <v>37667.393599999996</v>
      </c>
      <c r="D68" s="4" t="str">
        <v>Premium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Pivot 2</vt:lpstr>
      <vt:lpstr>Pivot table</vt:lpstr>
      <vt:lpstr>Dashboard</vt:lpstr>
      <vt:lpstr>Table2</vt:lpstr>
      <vt:lpstr>Table3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2026-02-07T12:51:45Z</dcterms:created>
  <dcterms:modified xsi:type="dcterms:W3CDTF">2026-02-08T06:27:12Z</dcterms:modified>
</cp:coreProperties>
</file>